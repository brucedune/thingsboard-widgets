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heck Sheet" sheetId="2" state="visible" r:id="rId2"/>
    <sheet name="Lf Tables" sheetId="3" state="visible" r:id="rId3"/>
    <sheet name="Rigs" sheetId="4" state="visible" r:id="rId4"/>
    <sheet name="50gal Corrected" sheetId="5" state="visible" r:id="rId5"/>
  </sheets>
  <definedNames>
    <definedName name="_xlnm._FilterDatabase" localSheetId="1" hidden="1">'Check Sheet'!$A$1:$V$994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hh:mm"/>
    <numFmt numFmtId="165" formatCode="0.000"/>
    <numFmt numFmtId="166" formatCode="0.0%"/>
    <numFmt numFmtId="167" formatCode="+0.000;-0.000;0.000"/>
    <numFmt numFmtId="168" formatCode="hh:mm:ss"/>
    <numFmt numFmtId="169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55555"/>
      <sz val="9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2" fillId="4" borderId="1" pivotButton="0" quotePrefix="0" xfId="0"/>
    <xf numFmtId="0" fontId="2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2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5" fontId="3" fillId="0" borderId="1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/>
    </xf>
    <xf numFmtId="0" fontId="3" fillId="6" borderId="1" pivotButton="0" quotePrefix="0" xfId="0"/>
    <xf numFmtId="165" fontId="5" fillId="0" borderId="1" pivotButton="0" quotePrefix="0" xfId="0"/>
    <xf numFmtId="167" fontId="2" fillId="0" borderId="1" pivotButton="0" quotePrefix="0" xfId="0"/>
    <xf numFmtId="0" fontId="4" fillId="2" borderId="0" pivotButton="0" quotePrefix="0" xfId="0"/>
    <xf numFmtId="164" fontId="2" fillId="4" borderId="1" pivotButton="0" quotePrefix="0" xfId="0"/>
    <xf numFmtId="2" fontId="2" fillId="4" borderId="1" pivotButton="0" quotePrefix="0" xfId="0"/>
    <xf numFmtId="166" fontId="2" fillId="4" borderId="1" pivotButton="0" quotePrefix="0" xfId="0"/>
    <xf numFmtId="165" fontId="2" fillId="4" borderId="1" pivotButton="0" quotePrefix="0" xfId="0"/>
    <xf numFmtId="168" fontId="2" fillId="4" borderId="1" pivotButton="0" quotePrefix="0" xfId="0"/>
    <xf numFmtId="168" fontId="5" fillId="5" borderId="1" pivotButton="0" quotePrefix="0" xfId="0"/>
    <xf numFmtId="0" fontId="2" fillId="7" borderId="1" pivotButton="0" quotePrefix="0" xfId="0"/>
    <xf numFmtId="168" fontId="2" fillId="7" borderId="1" pivotButton="0" quotePrefix="0" xfId="0"/>
    <xf numFmtId="166" fontId="2" fillId="7" borderId="1" pivotButton="0" quotePrefix="0" xfId="0"/>
    <xf numFmtId="165" fontId="2" fillId="7" borderId="1" pivotButton="0" quotePrefix="0" xfId="0"/>
    <xf numFmtId="2" fontId="2" fillId="7" borderId="1" pivotButton="0" quotePrefix="0" xfId="0"/>
    <xf numFmtId="0" fontId="7" fillId="0" borderId="0" pivotButton="0" quotePrefix="0" xfId="0"/>
    <xf numFmtId="1" fontId="2" fillId="0" borderId="1" pivotButton="0" quotePrefix="0" xfId="0"/>
    <xf numFmtId="169" fontId="2" fillId="0" borderId="1" pivotButton="0" quotePrefix="0" xfId="0"/>
    <xf numFmtId="0" fontId="3" fillId="0" borderId="1" pivotButton="0" quotePrefix="0" xfId="0"/>
    <xf numFmtId="2" fontId="3" fillId="0" borderId="1" pivotButton="0" quotePrefix="0" xfId="0"/>
    <xf numFmtId="16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 vs flow rate - raw vs k(Re)-corrected</a:t>
            </a:r>
          </a:p>
        </rich>
      </tx>
    </title>
    <plotArea>
      <scatterChart>
        <ser>
          <idx val="0"/>
          <order val="0"/>
          <tx>
            <v>Raw</v>
          </tx>
          <spPr>
            <a:ln>
              <a:noFill/>
              <a:prstDash val="solid"/>
            </a:ln>
          </spPr>
          <marker>
            <symbol val="x"/>
            <spPr>
              <a:ln>
                <a:prstDash val="solid"/>
              </a:ln>
            </spPr>
          </marker>
          <xVal>
            <numRef>
              <f>'50gal Corrected'!$B$3:$B$30</f>
            </numRef>
          </xVal>
          <yVal>
            <numRef>
              <f>'50gal Corrected'!$E$3:$E$30</f>
            </numRef>
          </yVal>
        </ser>
        <ser>
          <idx val="1"/>
          <order val="1"/>
          <tx>
            <v>k(Re)-corrected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'50gal Corrected'!$B$3:$B$30</f>
            </numRef>
          </xVal>
          <yVal>
            <numRef>
              <f>'50gal Corrected'!$H$3:$H$30</f>
            </numRef>
          </yVal>
        </ser>
        <axId val="10"/>
        <axId val="20"/>
      </scatterChart>
      <valAx>
        <axId val="10"/>
        <scaling>
          <orientation val="minMax"/>
          <max val="8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Flow rate (gpm)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vs 50 gal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E23" authorId="0" shapeId="0">
      <text>
        <t>CONFIRMED 8/8: compiled table value 2.211 is correct. Volumetric 10.0 gal @ 2 gpm read -0.6% (back-solved Lf 2.209 +/- 0.003); 4.22 gpm rate check -1.5%. frc=1, no attr overrides - measured K 2.99162e-4 = table K exactly. Earlier 2.135 recommendation retracted (Claude arithmetic error, D^2 vs D). No table change needed. - Claude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5" customHeight="1">
      <c r="A1" s="1" t="inlineStr">
        <is>
          <t>L-FACTOR TABLE OPTIMIZATION — RUN CHECK SHEET</t>
        </is>
      </c>
    </row>
    <row r="2" ht="15" customHeight="1">
      <c r="A2" s="2" t="inlineStr"/>
    </row>
    <row r="3" ht="15" customHeight="1">
      <c r="A3" s="3" t="inlineStr">
        <is>
          <t>Workflow — the iterative loop (per size/type combo)</t>
        </is>
      </c>
    </row>
    <row r="4" ht="28" customHeight="1">
      <c r="A4" s="2" t="inlineStr">
        <is>
          <t>1. RUN: one steady flow rate, known TRUE volume, 10-20 gal (&gt;= 90 s at high rates). &gt;= 2 min zero-flow gap between runs. Fill the YELLOW cells on the matching row: Date, Start, End (local hh:mm, rough ok), True Vol (gal), Temp (F), and APPLIED LF = the lFactor live on the devices during the run (table value or attr override).</t>
        </is>
      </c>
    </row>
    <row r="5" ht="28" customHeight="1">
      <c r="A5" s="2" t="inlineStr">
        <is>
          <t>2. INGEST (prompt Claude): Claude reads each device's meterVal /eventMeterDelta for the usage event (Meter Vol), analyzes tnorm for statistical variation BETWEEN devices (tnorm CoV %, outliers noted), and fills the GRAY columns. Vol Err % and RECOMMENDED LF then compute in-sheet: Lf' = SQRT(4 + (AppliedLf^2 - 4) x (MeterVol/TrueVol)^2). Claude sanity-checks the recommendation against the tnorm-based fit before you act on it.</t>
        </is>
      </c>
    </row>
    <row r="6" ht="28" customHeight="1">
      <c r="A6" s="2" t="inlineStr">
        <is>
          <t>3. APPLY: set lFactor to the Recommended Lf (attr = value x 1000, e.g. 2.135 -&gt; 2135). Run the next iteration row; repeat until Vol Err % is inside tolerance (~+/-1%). Final value -&gt; Optimized Lf table.</t>
        </is>
      </c>
    </row>
    <row r="7" ht="28" customHeight="1">
      <c r="A7" s="2" t="inlineStr">
        <is>
          <t>4. Claude maintains 'Lf Tables': Optimized Lf per converged cell; the DELTA table is the firmware change order. Turbulent rates (3/5/10) drive Lf; 0.5/1 gpm rows measure the laminar profile deviation and are NOT fed into Lf.</t>
        </is>
      </c>
    </row>
    <row r="8" ht="15" customHeight="1">
      <c r="A8" s="2" t="inlineStr"/>
    </row>
    <row r="9" ht="15" customHeight="1">
      <c r="A9" s="3" t="inlineStr">
        <is>
          <t>Color key</t>
        </is>
      </c>
    </row>
    <row r="10" ht="28" customHeight="1">
      <c r="A10" s="2" t="inlineStr">
        <is>
          <t>YELLOW = you fill.  GRAY-HEADER columns = Claude fills from TB (leave blank).  BLUE text = hardcoded input values.  Example row is light blue.</t>
        </is>
      </c>
    </row>
    <row r="11" ht="15" customHeight="1">
      <c r="A11" s="2" t="inlineStr"/>
    </row>
    <row r="12" ht="15" customHeight="1">
      <c r="A12" s="3" t="inlineStr">
        <is>
          <t>Rules / assumptions</t>
        </is>
      </c>
    </row>
    <row r="13" ht="28" customHeight="1">
      <c r="A13" s="2" t="inlineStr">
        <is>
          <t>- Ref GPM is computed from True Volume / (End-Start). Runs must not cross midnight (time math is same-day).</t>
        </is>
      </c>
    </row>
    <row r="14" ht="28" customHeight="1">
      <c r="A14" s="2" t="inlineStr">
        <is>
          <t>- Fit uses raw tnorm vs reference flow, so on-device L-factor/flowRateCoefficient during the run does NOT contaminate the fit.</t>
        </is>
      </c>
    </row>
    <row r="15" ht="28" customHeight="1">
      <c r="A15" s="2" t="inlineStr">
        <is>
          <t>- Lf is fitted on turbulent points (3/5/10 gpm). 0.5/1 gpm rows measure the laminar/transitional profile deviation (k(Re) candidate), and are excluded from the Lf fit.</t>
        </is>
      </c>
    </row>
    <row r="16" ht="15" customHeight="1">
      <c r="A16" s="2" t="inlineStr">
        <is>
          <t>- Record water temp: flow scales as c(T)^2, ~1% per 4 F near room temp.</t>
        </is>
      </c>
    </row>
    <row r="17" ht="28" customHeight="1">
      <c r="A17" s="2" t="inlineStr">
        <is>
          <t>- Current-table values on 'Lf Tables' transcribed from DuneFW_L5_2 Core/Src/measure.c lFactorsM/pipeDiameters @ commit efe997a (source: user's firmware repo).</t>
        </is>
      </c>
    </row>
    <row r="18" ht="28" customHeight="1">
      <c r="A18" s="2" t="inlineStr">
        <is>
          <t>- Rigs sheet maps size/type combo -&gt; TB device IDs; fill it for any new rig before its first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5" customWidth="1" min="3" max="3"/>
    <col width="10" customWidth="1" min="4" max="4"/>
    <col width="10" customWidth="1" min="5" max="5"/>
    <col width="5" customWidth="1" min="6" max="6"/>
    <col width="10" customWidth="1" min="7" max="7"/>
    <col width="12" customWidth="1" min="8" max="8"/>
    <col width="12" customWidth="1" min="9" max="9"/>
    <col width="12" customWidth="1" min="10" max="10"/>
    <col width="9" customWidth="1" min="11" max="11"/>
    <col width="10" customWidth="1" min="12" max="12"/>
    <col width="20" customWidth="1" min="13" max="13"/>
    <col width="9" customWidth="1" min="14" max="14"/>
    <col width="9" customWidth="1" min="15" max="15"/>
    <col width="13" customWidth="1" min="16" max="16"/>
    <col width="10" customWidth="1" min="17" max="17"/>
    <col width="12" customWidth="1" min="18" max="18"/>
    <col width="10" customWidth="1" min="19" max="19"/>
    <col width="13" customWidth="1" min="20" max="20"/>
    <col width="10" customWidth="1" min="21" max="21"/>
    <col width="9" customWidth="1" min="22" max="22"/>
  </cols>
  <sheetData>
    <row r="1">
      <c r="A1" s="4" t="inlineStr">
        <is>
          <t>Run ID</t>
        </is>
      </c>
      <c r="B1" s="4" t="inlineStr">
        <is>
          <t>Size</t>
        </is>
      </c>
      <c r="C1" s="4" t="inlineStr">
        <is>
          <t>Type</t>
        </is>
      </c>
      <c r="D1" s="4" t="inlineStr">
        <is>
          <t>Material</t>
        </is>
      </c>
      <c r="E1" s="4" t="inlineStr">
        <is>
          <t>Target GPM</t>
        </is>
      </c>
      <c r="F1" s="4" t="inlineStr">
        <is>
          <t>Iter</t>
        </is>
      </c>
      <c r="G1" s="4" t="inlineStr">
        <is>
          <t>Date</t>
        </is>
      </c>
      <c r="H1" s="4" t="inlineStr">
        <is>
          <t>Start (hh:mm:ss)</t>
        </is>
      </c>
      <c r="I1" s="4" t="inlineStr">
        <is>
          <t>End (hh:mm:ss)</t>
        </is>
      </c>
      <c r="J1" s="4" t="inlineStr">
        <is>
          <t>True Vol (gal)</t>
        </is>
      </c>
      <c r="K1" s="4" t="inlineStr">
        <is>
          <t>Temp (F)</t>
        </is>
      </c>
      <c r="L1" s="4" t="inlineStr">
        <is>
          <t>Applied Lf</t>
        </is>
      </c>
      <c r="M1" s="4" t="inlineStr">
        <is>
          <t>Notes</t>
        </is>
      </c>
      <c r="N1" s="4" t="inlineStr">
        <is>
          <t>Ref GPM</t>
        </is>
      </c>
      <c r="O1" s="5" t="inlineStr">
        <is>
          <t>Devices n</t>
        </is>
      </c>
      <c r="P1" s="5" t="inlineStr">
        <is>
          <t>Mean tnorm (ps)</t>
        </is>
      </c>
      <c r="Q1" s="5" t="inlineStr">
        <is>
          <t>tnorm CoV %</t>
        </is>
      </c>
      <c r="R1" s="5" t="inlineStr">
        <is>
          <t>Meter Vol (gal)</t>
        </is>
      </c>
      <c r="S1" s="5" t="inlineStr">
        <is>
          <t>Vol Err %</t>
        </is>
      </c>
      <c r="T1" s="4" t="inlineStr">
        <is>
          <t>Recommended Lf</t>
        </is>
      </c>
      <c r="U1" s="5" t="inlineStr">
        <is>
          <t>Ingested</t>
        </is>
      </c>
      <c r="V1" s="5" t="inlineStr">
        <is>
          <t>Status</t>
        </is>
      </c>
    </row>
    <row r="2">
      <c r="A2" s="6" t="inlineStr">
        <is>
          <t>EXAMPLE</t>
        </is>
      </c>
      <c r="B2" s="6" t="inlineStr">
        <is>
          <t>3/4</t>
        </is>
      </c>
      <c r="C2" s="6" t="inlineStr">
        <is>
          <t>P</t>
        </is>
      </c>
      <c r="D2" s="6" t="inlineStr">
        <is>
          <t>PVC-40</t>
        </is>
      </c>
      <c r="E2" s="6" t="n">
        <v>4.22</v>
      </c>
      <c r="F2" s="6" t="inlineStr">
        <is>
          <t>-</t>
        </is>
      </c>
      <c r="G2" s="6" t="inlineStr">
        <is>
          <t>8/7/2026</t>
        </is>
      </c>
      <c r="H2" s="26" t="n">
        <v>0.6809837962962964</v>
      </c>
      <c r="I2" s="26" t="n">
        <v>0.6812962962962963</v>
      </c>
      <c r="J2" s="6" t="n">
        <v>1.9</v>
      </c>
      <c r="K2" s="6" t="n">
        <v>72</v>
      </c>
      <c r="L2" s="6" t="n">
        <v>2.255</v>
      </c>
      <c r="M2" s="6" t="inlineStr">
        <is>
          <t>EXAMPLE — real 8/7 run (M-constants era); vol est. from ref rate</t>
        </is>
      </c>
      <c r="N2" s="23">
        <f>IF(OR(J2="",H2="",I2=""),"",J2/((I2-H2)*1440))</f>
        <v/>
      </c>
      <c r="O2" s="6" t="n">
        <v>6</v>
      </c>
      <c r="P2" s="6" t="n">
        <v>13893</v>
      </c>
      <c r="Q2" s="6" t="inlineStr">
        <is>
          <t>1.6%</t>
        </is>
      </c>
      <c r="R2" s="6" t="n">
        <v>1.963</v>
      </c>
      <c r="S2" s="24">
        <f>IF(OR(R2="",J2=""),"",R2/J2-1)</f>
        <v/>
      </c>
      <c r="T2" s="25">
        <f>IF(OR(L2="",R2="",J2=""),"",SQRT(4+(L2^2-4)*(R2/J2)^2))</f>
        <v/>
      </c>
      <c r="U2" s="6" t="inlineStr">
        <is>
          <t>8/7/2026</t>
        </is>
      </c>
      <c r="V2" s="6" t="inlineStr">
        <is>
          <t>DONE</t>
        </is>
      </c>
    </row>
    <row r="3">
      <c r="A3" s="28" t="inlineStr">
        <is>
          <t>P-3/4-2-TRIAL</t>
        </is>
      </c>
      <c r="B3" s="28" t="inlineStr">
        <is>
          <t>3/4</t>
        </is>
      </c>
      <c r="C3" s="28" t="inlineStr">
        <is>
          <t>P</t>
        </is>
      </c>
      <c r="D3" s="28" t="inlineStr">
        <is>
          <t>PVC-40</t>
        </is>
      </c>
      <c r="E3" s="28" t="n">
        <v>2</v>
      </c>
      <c r="F3" s="28" t="inlineStr">
        <is>
          <t>-</t>
        </is>
      </c>
      <c r="G3" s="28" t="inlineStr">
        <is>
          <t>8/8/2026</t>
        </is>
      </c>
      <c r="H3" s="29" t="n">
        <v>0.6805555555555556</v>
      </c>
      <c r="I3" s="29" t="n">
        <v>0.6819444444444445</v>
      </c>
      <c r="J3" s="28" t="n">
        <v>10</v>
      </c>
      <c r="K3" s="28" t="n"/>
      <c r="L3" s="28" t="n">
        <v>2.211</v>
      </c>
      <c r="M3" s="28" t="inlineStr">
        <is>
          <t>TRIAL 8/8am: ghost-config storm discovered; coverage 52% - excluded from fit</t>
        </is>
      </c>
      <c r="N3" s="32">
        <f>IF(OR(J3="",H3="",I3=""),"",J3/((I3-H3)*1440))</f>
        <v/>
      </c>
      <c r="O3" s="28" t="n">
        <v>6</v>
      </c>
      <c r="P3" s="28" t="n">
        <v>7100</v>
      </c>
      <c r="Q3" s="28" t="inlineStr">
        <is>
          <t>52%</t>
        </is>
      </c>
      <c r="R3" s="28" t="n">
        <v>5.37</v>
      </c>
      <c r="S3" s="30">
        <f>IF(OR(R3="",J3=""),"",R3/J3-1)</f>
        <v/>
      </c>
      <c r="T3" s="31">
        <f>IF(OR(L3="",R3="",J3=""),"",SQRT(4+(L3^2-4)*(R3/J3)^2))</f>
        <v/>
      </c>
      <c r="U3" s="28" t="inlineStr">
        <is>
          <t>8/8/2026</t>
        </is>
      </c>
      <c r="V3" s="28" t="inlineStr">
        <is>
          <t>DONE</t>
        </is>
      </c>
    </row>
    <row r="4">
      <c r="A4" s="28" t="inlineStr">
        <is>
          <t>P-3/4-2-x1</t>
        </is>
      </c>
      <c r="B4" s="28" t="inlineStr">
        <is>
          <t>3/4</t>
        </is>
      </c>
      <c r="C4" s="28" t="inlineStr">
        <is>
          <t>P</t>
        </is>
      </c>
      <c r="D4" s="28" t="inlineStr">
        <is>
          <t>PVC-40</t>
        </is>
      </c>
      <c r="E4" s="28" t="n">
        <v>2</v>
      </c>
      <c r="F4" s="28" t="inlineStr">
        <is>
          <t>1</t>
        </is>
      </c>
      <c r="G4" s="28" t="inlineStr">
        <is>
          <t>8/8/2026</t>
        </is>
      </c>
      <c r="H4" s="29" t="n">
        <v>0.7881944444444444</v>
      </c>
      <c r="I4" s="29" t="n">
        <v>0.7916666666666666</v>
      </c>
      <c r="J4" s="28" t="n">
        <v>10</v>
      </c>
      <c r="K4" s="28" t="n"/>
      <c r="L4" s="28" t="n">
        <v>2.211</v>
      </c>
      <c r="M4" s="28" t="inlineStr">
        <is>
          <t>post-17031 clean run; billing mean +0.2%; ad-hoc rate (no 2gpm grid slot)</t>
        </is>
      </c>
      <c r="N4" s="32">
        <f>IF(OR(J4="",H4="",I4=""),"",J4/((I4-H4)*1440))</f>
        <v/>
      </c>
      <c r="O4" s="28" t="n">
        <v>6</v>
      </c>
      <c r="P4" s="28" t="n">
        <v>6800</v>
      </c>
      <c r="Q4" s="28" t="inlineStr">
        <is>
          <t>100%</t>
        </is>
      </c>
      <c r="R4" s="28" t="n">
        <v>10.02</v>
      </c>
      <c r="S4" s="30">
        <f>IF(OR(R4="",J4=""),"",R4/J4-1)</f>
        <v/>
      </c>
      <c r="T4" s="31">
        <f>IF(OR(L4="",R4="",J4=""),"",SQRT(4+(L4^2-4)*(R4/J4)^2))</f>
        <v/>
      </c>
      <c r="U4" s="28" t="inlineStr">
        <is>
          <t>8/8/2026</t>
        </is>
      </c>
      <c r="V4" s="28" t="inlineStr">
        <is>
          <t>DONE</t>
        </is>
      </c>
    </row>
    <row r="5">
      <c r="A5" s="7" t="inlineStr">
        <is>
          <t>K-3/8-0.5-i1</t>
        </is>
      </c>
      <c r="B5" s="7" t="inlineStr">
        <is>
          <t>3/8</t>
        </is>
      </c>
      <c r="C5" s="7" t="inlineStr">
        <is>
          <t>K</t>
        </is>
      </c>
      <c r="D5" s="7" t="inlineStr">
        <is>
          <t>Copper K</t>
        </is>
      </c>
      <c r="E5" s="7" t="n">
        <v>0.5</v>
      </c>
      <c r="F5" s="7" t="n">
        <v>1</v>
      </c>
      <c r="G5" s="8" t="n"/>
      <c r="H5" s="27" t="n"/>
      <c r="I5" s="27" t="n"/>
      <c r="J5" s="8" t="n"/>
      <c r="K5" s="8" t="n"/>
      <c r="L5" s="10" t="n"/>
      <c r="M5" s="8" t="n"/>
      <c r="N5" s="11">
        <f>IF(OR(J5="",H5="",I5=""),"",J5/((I5-H5)*1440))</f>
        <v/>
      </c>
      <c r="O5" s="7" t="n"/>
      <c r="P5" s="7" t="n"/>
      <c r="Q5" s="7" t="n"/>
      <c r="R5" s="12" t="n"/>
      <c r="S5" s="13">
        <f>IF(OR(R5="",J5=""),"",R5/J5-1)</f>
        <v/>
      </c>
      <c r="T5" s="14">
        <f>IF(OR(L5="",R5="",J5=""),"",SQRT(4+(L5^2-4)*(R5/J5)^2))</f>
        <v/>
      </c>
      <c r="U5" s="7" t="n"/>
      <c r="V5" s="7" t="n"/>
    </row>
    <row r="6">
      <c r="A6" s="7" t="inlineStr">
        <is>
          <t>K-3/8-0.5-i2</t>
        </is>
      </c>
      <c r="B6" s="7" t="inlineStr">
        <is>
          <t>3/8</t>
        </is>
      </c>
      <c r="C6" s="7" t="inlineStr">
        <is>
          <t>K</t>
        </is>
      </c>
      <c r="D6" s="7" t="inlineStr">
        <is>
          <t>Copper K</t>
        </is>
      </c>
      <c r="E6" s="7" t="n">
        <v>0.5</v>
      </c>
      <c r="F6" s="7" t="n">
        <v>2</v>
      </c>
      <c r="G6" s="8" t="n"/>
      <c r="H6" s="27" t="n"/>
      <c r="I6" s="27" t="n"/>
      <c r="J6" s="8" t="n"/>
      <c r="K6" s="8" t="n"/>
      <c r="L6" s="10" t="n"/>
      <c r="M6" s="8" t="n"/>
      <c r="N6" s="11">
        <f>IF(OR(J6="",H6="",I6=""),"",J6/((I6-H6)*1440))</f>
        <v/>
      </c>
      <c r="O6" s="7" t="n"/>
      <c r="P6" s="7" t="n"/>
      <c r="Q6" s="7" t="n"/>
      <c r="R6" s="12" t="n"/>
      <c r="S6" s="13">
        <f>IF(OR(R6="",J6=""),"",R6/J6-1)</f>
        <v/>
      </c>
      <c r="T6" s="14">
        <f>IF(OR(L6="",R6="",J6=""),"",SQRT(4+(L6^2-4)*(R6/J6)^2))</f>
        <v/>
      </c>
      <c r="U6" s="7" t="n"/>
      <c r="V6" s="7" t="n"/>
    </row>
    <row r="7">
      <c r="A7" s="7" t="inlineStr">
        <is>
          <t>K-3/8-0.5-i3</t>
        </is>
      </c>
      <c r="B7" s="7" t="inlineStr">
        <is>
          <t>3/8</t>
        </is>
      </c>
      <c r="C7" s="7" t="inlineStr">
        <is>
          <t>K</t>
        </is>
      </c>
      <c r="D7" s="7" t="inlineStr">
        <is>
          <t>Copper K</t>
        </is>
      </c>
      <c r="E7" s="7" t="n">
        <v>0.5</v>
      </c>
      <c r="F7" s="7" t="n">
        <v>3</v>
      </c>
      <c r="G7" s="8" t="n"/>
      <c r="H7" s="27" t="n"/>
      <c r="I7" s="27" t="n"/>
      <c r="J7" s="8" t="n"/>
      <c r="K7" s="8" t="n"/>
      <c r="L7" s="10" t="n"/>
      <c r="M7" s="8" t="n"/>
      <c r="N7" s="11">
        <f>IF(OR(J7="",H7="",I7=""),"",J7/((I7-H7)*1440))</f>
        <v/>
      </c>
      <c r="O7" s="7" t="n"/>
      <c r="P7" s="7" t="n"/>
      <c r="Q7" s="7" t="n"/>
      <c r="R7" s="12" t="n"/>
      <c r="S7" s="13">
        <f>IF(OR(R7="",J7=""),"",R7/J7-1)</f>
        <v/>
      </c>
      <c r="T7" s="14">
        <f>IF(OR(L7="",R7="",J7=""),"",SQRT(4+(L7^2-4)*(R7/J7)^2))</f>
        <v/>
      </c>
      <c r="U7" s="7" t="n"/>
      <c r="V7" s="7" t="n"/>
    </row>
    <row r="8">
      <c r="A8" s="7" t="inlineStr">
        <is>
          <t>K-3/8-1-i1</t>
        </is>
      </c>
      <c r="B8" s="7" t="inlineStr">
        <is>
          <t>3/8</t>
        </is>
      </c>
      <c r="C8" s="7" t="inlineStr">
        <is>
          <t>K</t>
        </is>
      </c>
      <c r="D8" s="7" t="inlineStr">
        <is>
          <t>Copper K</t>
        </is>
      </c>
      <c r="E8" s="7" t="n">
        <v>1</v>
      </c>
      <c r="F8" s="7" t="n">
        <v>1</v>
      </c>
      <c r="G8" s="8" t="n"/>
      <c r="H8" s="27" t="n"/>
      <c r="I8" s="27" t="n"/>
      <c r="J8" s="8" t="n"/>
      <c r="K8" s="8" t="n"/>
      <c r="L8" s="10" t="n"/>
      <c r="M8" s="8" t="n"/>
      <c r="N8" s="11">
        <f>IF(OR(J8="",H8="",I8=""),"",J8/((I8-H8)*1440))</f>
        <v/>
      </c>
      <c r="O8" s="7" t="n"/>
      <c r="P8" s="7" t="n"/>
      <c r="Q8" s="7" t="n"/>
      <c r="R8" s="12" t="n"/>
      <c r="S8" s="13">
        <f>IF(OR(R8="",J8=""),"",R8/J8-1)</f>
        <v/>
      </c>
      <c r="T8" s="14">
        <f>IF(OR(L8="",R8="",J8=""),"",SQRT(4+(L8^2-4)*(R8/J8)^2))</f>
        <v/>
      </c>
      <c r="U8" s="7" t="n"/>
      <c r="V8" s="7" t="n"/>
    </row>
    <row r="9">
      <c r="A9" s="7" t="inlineStr">
        <is>
          <t>K-3/8-1-i2</t>
        </is>
      </c>
      <c r="B9" s="7" t="inlineStr">
        <is>
          <t>3/8</t>
        </is>
      </c>
      <c r="C9" s="7" t="inlineStr">
        <is>
          <t>K</t>
        </is>
      </c>
      <c r="D9" s="7" t="inlineStr">
        <is>
          <t>Copper K</t>
        </is>
      </c>
      <c r="E9" s="7" t="n">
        <v>1</v>
      </c>
      <c r="F9" s="7" t="n">
        <v>2</v>
      </c>
      <c r="G9" s="8" t="n"/>
      <c r="H9" s="27" t="n"/>
      <c r="I9" s="27" t="n"/>
      <c r="J9" s="8" t="n"/>
      <c r="K9" s="8" t="n"/>
      <c r="L9" s="10" t="n"/>
      <c r="M9" s="8" t="n"/>
      <c r="N9" s="11">
        <f>IF(OR(J9="",H9="",I9=""),"",J9/((I9-H9)*1440))</f>
        <v/>
      </c>
      <c r="O9" s="7" t="n"/>
      <c r="P9" s="7" t="n"/>
      <c r="Q9" s="7" t="n"/>
      <c r="R9" s="12" t="n"/>
      <c r="S9" s="13">
        <f>IF(OR(R9="",J9=""),"",R9/J9-1)</f>
        <v/>
      </c>
      <c r="T9" s="14">
        <f>IF(OR(L9="",R9="",J9=""),"",SQRT(4+(L9^2-4)*(R9/J9)^2))</f>
        <v/>
      </c>
      <c r="U9" s="7" t="n"/>
      <c r="V9" s="7" t="n"/>
    </row>
    <row r="10">
      <c r="A10" s="7" t="inlineStr">
        <is>
          <t>K-3/8-1-i3</t>
        </is>
      </c>
      <c r="B10" s="7" t="inlineStr">
        <is>
          <t>3/8</t>
        </is>
      </c>
      <c r="C10" s="7" t="inlineStr">
        <is>
          <t>K</t>
        </is>
      </c>
      <c r="D10" s="7" t="inlineStr">
        <is>
          <t>Copper K</t>
        </is>
      </c>
      <c r="E10" s="7" t="n">
        <v>1</v>
      </c>
      <c r="F10" s="7" t="n">
        <v>3</v>
      </c>
      <c r="G10" s="8" t="n"/>
      <c r="H10" s="27" t="n"/>
      <c r="I10" s="27" t="n"/>
      <c r="J10" s="8" t="n"/>
      <c r="K10" s="8" t="n"/>
      <c r="L10" s="10" t="n"/>
      <c r="M10" s="8" t="n"/>
      <c r="N10" s="11">
        <f>IF(OR(J10="",H10="",I10=""),"",J10/((I10-H10)*1440))</f>
        <v/>
      </c>
      <c r="O10" s="7" t="n"/>
      <c r="P10" s="7" t="n"/>
      <c r="Q10" s="7" t="n"/>
      <c r="R10" s="12" t="n"/>
      <c r="S10" s="13">
        <f>IF(OR(R10="",J10=""),"",R10/J10-1)</f>
        <v/>
      </c>
      <c r="T10" s="14">
        <f>IF(OR(L10="",R10="",J10=""),"",SQRT(4+(L10^2-4)*(R10/J10)^2))</f>
        <v/>
      </c>
      <c r="U10" s="7" t="n"/>
      <c r="V10" s="7" t="n"/>
    </row>
    <row r="11">
      <c r="A11" s="7" t="inlineStr">
        <is>
          <t>K-3/8-3-i1</t>
        </is>
      </c>
      <c r="B11" s="7" t="inlineStr">
        <is>
          <t>3/8</t>
        </is>
      </c>
      <c r="C11" s="7" t="inlineStr">
        <is>
          <t>K</t>
        </is>
      </c>
      <c r="D11" s="7" t="inlineStr">
        <is>
          <t>Copper K</t>
        </is>
      </c>
      <c r="E11" s="7" t="n">
        <v>3</v>
      </c>
      <c r="F11" s="7" t="n">
        <v>1</v>
      </c>
      <c r="G11" s="8" t="n"/>
      <c r="H11" s="27" t="n"/>
      <c r="I11" s="27" t="n"/>
      <c r="J11" s="8" t="n"/>
      <c r="K11" s="8" t="n"/>
      <c r="L11" s="10" t="n"/>
      <c r="M11" s="8" t="n"/>
      <c r="N11" s="11">
        <f>IF(OR(J11="",H11="",I11=""),"",J11/((I11-H11)*1440))</f>
        <v/>
      </c>
      <c r="O11" s="7" t="n"/>
      <c r="P11" s="7" t="n"/>
      <c r="Q11" s="7" t="n"/>
      <c r="R11" s="12" t="n"/>
      <c r="S11" s="13">
        <f>IF(OR(R11="",J11=""),"",R11/J11-1)</f>
        <v/>
      </c>
      <c r="T11" s="14">
        <f>IF(OR(L11="",R11="",J11=""),"",SQRT(4+(L11^2-4)*(R11/J11)^2))</f>
        <v/>
      </c>
      <c r="U11" s="7" t="n"/>
      <c r="V11" s="7" t="n"/>
    </row>
    <row r="12">
      <c r="A12" s="7" t="inlineStr">
        <is>
          <t>K-3/8-3-i2</t>
        </is>
      </c>
      <c r="B12" s="7" t="inlineStr">
        <is>
          <t>3/8</t>
        </is>
      </c>
      <c r="C12" s="7" t="inlineStr">
        <is>
          <t>K</t>
        </is>
      </c>
      <c r="D12" s="7" t="inlineStr">
        <is>
          <t>Copper K</t>
        </is>
      </c>
      <c r="E12" s="7" t="n">
        <v>3</v>
      </c>
      <c r="F12" s="7" t="n">
        <v>2</v>
      </c>
      <c r="G12" s="8" t="n"/>
      <c r="H12" s="27" t="n"/>
      <c r="I12" s="27" t="n"/>
      <c r="J12" s="8" t="n"/>
      <c r="K12" s="8" t="n"/>
      <c r="L12" s="10" t="n"/>
      <c r="M12" s="8" t="n"/>
      <c r="N12" s="11">
        <f>IF(OR(J12="",H12="",I12=""),"",J12/((I12-H12)*1440))</f>
        <v/>
      </c>
      <c r="O12" s="7" t="n"/>
      <c r="P12" s="7" t="n"/>
      <c r="Q12" s="7" t="n"/>
      <c r="R12" s="12" t="n"/>
      <c r="S12" s="13">
        <f>IF(OR(R12="",J12=""),"",R12/J12-1)</f>
        <v/>
      </c>
      <c r="T12" s="14">
        <f>IF(OR(L12="",R12="",J12=""),"",SQRT(4+(L12^2-4)*(R12/J12)^2))</f>
        <v/>
      </c>
      <c r="U12" s="7" t="n"/>
      <c r="V12" s="7" t="n"/>
    </row>
    <row r="13">
      <c r="A13" s="7" t="inlineStr">
        <is>
          <t>K-3/8-3-i3</t>
        </is>
      </c>
      <c r="B13" s="7" t="inlineStr">
        <is>
          <t>3/8</t>
        </is>
      </c>
      <c r="C13" s="7" t="inlineStr">
        <is>
          <t>K</t>
        </is>
      </c>
      <c r="D13" s="7" t="inlineStr">
        <is>
          <t>Copper K</t>
        </is>
      </c>
      <c r="E13" s="7" t="n">
        <v>3</v>
      </c>
      <c r="F13" s="7" t="n">
        <v>3</v>
      </c>
      <c r="G13" s="8" t="n"/>
      <c r="H13" s="27" t="n"/>
      <c r="I13" s="27" t="n"/>
      <c r="J13" s="8" t="n"/>
      <c r="K13" s="8" t="n"/>
      <c r="L13" s="10" t="n"/>
      <c r="M13" s="8" t="n"/>
      <c r="N13" s="11">
        <f>IF(OR(J13="",H13="",I13=""),"",J13/((I13-H13)*1440))</f>
        <v/>
      </c>
      <c r="O13" s="7" t="n"/>
      <c r="P13" s="7" t="n"/>
      <c r="Q13" s="7" t="n"/>
      <c r="R13" s="12" t="n"/>
      <c r="S13" s="13">
        <f>IF(OR(R13="",J13=""),"",R13/J13-1)</f>
        <v/>
      </c>
      <c r="T13" s="14">
        <f>IF(OR(L13="",R13="",J13=""),"",SQRT(4+(L13^2-4)*(R13/J13)^2))</f>
        <v/>
      </c>
      <c r="U13" s="7" t="n"/>
      <c r="V13" s="7" t="n"/>
    </row>
    <row r="14">
      <c r="A14" s="7" t="inlineStr">
        <is>
          <t>K-3/8-5-i1</t>
        </is>
      </c>
      <c r="B14" s="7" t="inlineStr">
        <is>
          <t>3/8</t>
        </is>
      </c>
      <c r="C14" s="7" t="inlineStr">
        <is>
          <t>K</t>
        </is>
      </c>
      <c r="D14" s="7" t="inlineStr">
        <is>
          <t>Copper K</t>
        </is>
      </c>
      <c r="E14" s="7" t="n">
        <v>5</v>
      </c>
      <c r="F14" s="7" t="n">
        <v>1</v>
      </c>
      <c r="G14" s="8" t="n"/>
      <c r="H14" s="27" t="n"/>
      <c r="I14" s="27" t="n"/>
      <c r="J14" s="8" t="n"/>
      <c r="K14" s="8" t="n"/>
      <c r="L14" s="10" t="n"/>
      <c r="M14" s="8" t="n"/>
      <c r="N14" s="11">
        <f>IF(OR(J14="",H14="",I14=""),"",J14/((I14-H14)*1440))</f>
        <v/>
      </c>
      <c r="O14" s="7" t="n"/>
      <c r="P14" s="7" t="n"/>
      <c r="Q14" s="7" t="n"/>
      <c r="R14" s="12" t="n"/>
      <c r="S14" s="13">
        <f>IF(OR(R14="",J14=""),"",R14/J14-1)</f>
        <v/>
      </c>
      <c r="T14" s="14">
        <f>IF(OR(L14="",R14="",J14=""),"",SQRT(4+(L14^2-4)*(R14/J14)^2))</f>
        <v/>
      </c>
      <c r="U14" s="7" t="n"/>
      <c r="V14" s="7" t="n"/>
    </row>
    <row r="15">
      <c r="A15" s="7" t="inlineStr">
        <is>
          <t>K-3/8-5-i2</t>
        </is>
      </c>
      <c r="B15" s="7" t="inlineStr">
        <is>
          <t>3/8</t>
        </is>
      </c>
      <c r="C15" s="7" t="inlineStr">
        <is>
          <t>K</t>
        </is>
      </c>
      <c r="D15" s="7" t="inlineStr">
        <is>
          <t>Copper K</t>
        </is>
      </c>
      <c r="E15" s="7" t="n">
        <v>5</v>
      </c>
      <c r="F15" s="7" t="n">
        <v>2</v>
      </c>
      <c r="G15" s="8" t="n"/>
      <c r="H15" s="27" t="n"/>
      <c r="I15" s="27" t="n"/>
      <c r="J15" s="8" t="n"/>
      <c r="K15" s="8" t="n"/>
      <c r="L15" s="10" t="n"/>
      <c r="M15" s="8" t="n"/>
      <c r="N15" s="11">
        <f>IF(OR(J15="",H15="",I15=""),"",J15/((I15-H15)*1440))</f>
        <v/>
      </c>
      <c r="O15" s="7" t="n"/>
      <c r="P15" s="7" t="n"/>
      <c r="Q15" s="7" t="n"/>
      <c r="R15" s="12" t="n"/>
      <c r="S15" s="13">
        <f>IF(OR(R15="",J15=""),"",R15/J15-1)</f>
        <v/>
      </c>
      <c r="T15" s="14">
        <f>IF(OR(L15="",R15="",J15=""),"",SQRT(4+(L15^2-4)*(R15/J15)^2))</f>
        <v/>
      </c>
      <c r="U15" s="7" t="n"/>
      <c r="V15" s="7" t="n"/>
    </row>
    <row r="16">
      <c r="A16" s="7" t="inlineStr">
        <is>
          <t>K-3/8-5-i3</t>
        </is>
      </c>
      <c r="B16" s="7" t="inlineStr">
        <is>
          <t>3/8</t>
        </is>
      </c>
      <c r="C16" s="7" t="inlineStr">
        <is>
          <t>K</t>
        </is>
      </c>
      <c r="D16" s="7" t="inlineStr">
        <is>
          <t>Copper K</t>
        </is>
      </c>
      <c r="E16" s="7" t="n">
        <v>5</v>
      </c>
      <c r="F16" s="7" t="n">
        <v>3</v>
      </c>
      <c r="G16" s="8" t="n"/>
      <c r="H16" s="27" t="n"/>
      <c r="I16" s="27" t="n"/>
      <c r="J16" s="8" t="n"/>
      <c r="K16" s="8" t="n"/>
      <c r="L16" s="10" t="n"/>
      <c r="M16" s="8" t="n"/>
      <c r="N16" s="11">
        <f>IF(OR(J16="",H16="",I16=""),"",J16/((I16-H16)*1440))</f>
        <v/>
      </c>
      <c r="O16" s="7" t="n"/>
      <c r="P16" s="7" t="n"/>
      <c r="Q16" s="7" t="n"/>
      <c r="R16" s="12" t="n"/>
      <c r="S16" s="13">
        <f>IF(OR(R16="",J16=""),"",R16/J16-1)</f>
        <v/>
      </c>
      <c r="T16" s="14">
        <f>IF(OR(L16="",R16="",J16=""),"",SQRT(4+(L16^2-4)*(R16/J16)^2))</f>
        <v/>
      </c>
      <c r="U16" s="7" t="n"/>
      <c r="V16" s="7" t="n"/>
    </row>
    <row r="17">
      <c r="A17" s="7" t="inlineStr">
        <is>
          <t>K-3/8-10-i1</t>
        </is>
      </c>
      <c r="B17" s="7" t="inlineStr">
        <is>
          <t>3/8</t>
        </is>
      </c>
      <c r="C17" s="7" t="inlineStr">
        <is>
          <t>K</t>
        </is>
      </c>
      <c r="D17" s="7" t="inlineStr">
        <is>
          <t>Copper K</t>
        </is>
      </c>
      <c r="E17" s="7" t="n">
        <v>10</v>
      </c>
      <c r="F17" s="7" t="n">
        <v>1</v>
      </c>
      <c r="G17" s="8" t="n"/>
      <c r="H17" s="27" t="n"/>
      <c r="I17" s="27" t="n"/>
      <c r="J17" s="8" t="n"/>
      <c r="K17" s="8" t="n"/>
      <c r="L17" s="10" t="n"/>
      <c r="M17" s="8" t="n"/>
      <c r="N17" s="11">
        <f>IF(OR(J17="",H17="",I17=""),"",J17/((I17-H17)*1440))</f>
        <v/>
      </c>
      <c r="O17" s="7" t="n"/>
      <c r="P17" s="7" t="n"/>
      <c r="Q17" s="7" t="n"/>
      <c r="R17" s="12" t="n"/>
      <c r="S17" s="13">
        <f>IF(OR(R17="",J17=""),"",R17/J17-1)</f>
        <v/>
      </c>
      <c r="T17" s="14">
        <f>IF(OR(L17="",R17="",J17=""),"",SQRT(4+(L17^2-4)*(R17/J17)^2))</f>
        <v/>
      </c>
      <c r="U17" s="7" t="n"/>
      <c r="V17" s="7" t="n"/>
    </row>
    <row r="18">
      <c r="A18" s="7" t="inlineStr">
        <is>
          <t>K-3/8-10-i2</t>
        </is>
      </c>
      <c r="B18" s="7" t="inlineStr">
        <is>
          <t>3/8</t>
        </is>
      </c>
      <c r="C18" s="7" t="inlineStr">
        <is>
          <t>K</t>
        </is>
      </c>
      <c r="D18" s="7" t="inlineStr">
        <is>
          <t>Copper K</t>
        </is>
      </c>
      <c r="E18" s="7" t="n">
        <v>10</v>
      </c>
      <c r="F18" s="7" t="n">
        <v>2</v>
      </c>
      <c r="G18" s="8" t="n"/>
      <c r="H18" s="27" t="n"/>
      <c r="I18" s="27" t="n"/>
      <c r="J18" s="8" t="n"/>
      <c r="K18" s="8" t="n"/>
      <c r="L18" s="10" t="n"/>
      <c r="M18" s="8" t="n"/>
      <c r="N18" s="11">
        <f>IF(OR(J18="",H18="",I18=""),"",J18/((I18-H18)*1440))</f>
        <v/>
      </c>
      <c r="O18" s="7" t="n"/>
      <c r="P18" s="7" t="n"/>
      <c r="Q18" s="7" t="n"/>
      <c r="R18" s="12" t="n"/>
      <c r="S18" s="13">
        <f>IF(OR(R18="",J18=""),"",R18/J18-1)</f>
        <v/>
      </c>
      <c r="T18" s="14">
        <f>IF(OR(L18="",R18="",J18=""),"",SQRT(4+(L18^2-4)*(R18/J18)^2))</f>
        <v/>
      </c>
      <c r="U18" s="7" t="n"/>
      <c r="V18" s="7" t="n"/>
    </row>
    <row r="19">
      <c r="A19" s="7" t="inlineStr">
        <is>
          <t>K-3/8-10-i3</t>
        </is>
      </c>
      <c r="B19" s="7" t="inlineStr">
        <is>
          <t>3/8</t>
        </is>
      </c>
      <c r="C19" s="7" t="inlineStr">
        <is>
          <t>K</t>
        </is>
      </c>
      <c r="D19" s="7" t="inlineStr">
        <is>
          <t>Copper K</t>
        </is>
      </c>
      <c r="E19" s="7" t="n">
        <v>10</v>
      </c>
      <c r="F19" s="7" t="n">
        <v>3</v>
      </c>
      <c r="G19" s="8" t="n"/>
      <c r="H19" s="27" t="n"/>
      <c r="I19" s="27" t="n"/>
      <c r="J19" s="8" t="n"/>
      <c r="K19" s="8" t="n"/>
      <c r="L19" s="10" t="n"/>
      <c r="M19" s="8" t="n"/>
      <c r="N19" s="11">
        <f>IF(OR(J19="",H19="",I19=""),"",J19/((I19-H19)*1440))</f>
        <v/>
      </c>
      <c r="O19" s="7" t="n"/>
      <c r="P19" s="7" t="n"/>
      <c r="Q19" s="7" t="n"/>
      <c r="R19" s="12" t="n"/>
      <c r="S19" s="13">
        <f>IF(OR(R19="",J19=""),"",R19/J19-1)</f>
        <v/>
      </c>
      <c r="T19" s="14">
        <f>IF(OR(L19="",R19="",J19=""),"",SQRT(4+(L19^2-4)*(R19/J19)^2))</f>
        <v/>
      </c>
      <c r="U19" s="7" t="n"/>
      <c r="V19" s="7" t="n"/>
    </row>
    <row r="20">
      <c r="A20" s="7" t="inlineStr">
        <is>
          <t>L-3/8-0.5-i1</t>
        </is>
      </c>
      <c r="B20" s="7" t="inlineStr">
        <is>
          <t>3/8</t>
        </is>
      </c>
      <c r="C20" s="7" t="inlineStr">
        <is>
          <t>L</t>
        </is>
      </c>
      <c r="D20" s="7" t="inlineStr">
        <is>
          <t>Copper L</t>
        </is>
      </c>
      <c r="E20" s="7" t="n">
        <v>0.5</v>
      </c>
      <c r="F20" s="7" t="n">
        <v>1</v>
      </c>
      <c r="G20" s="8" t="n"/>
      <c r="H20" s="27" t="n"/>
      <c r="I20" s="27" t="n"/>
      <c r="J20" s="8" t="n"/>
      <c r="K20" s="8" t="n"/>
      <c r="L20" s="10" t="n"/>
      <c r="M20" s="8" t="n"/>
      <c r="N20" s="11">
        <f>IF(OR(J20="",H20="",I20=""),"",J20/((I20-H20)*1440))</f>
        <v/>
      </c>
      <c r="O20" s="7" t="n"/>
      <c r="P20" s="7" t="n"/>
      <c r="Q20" s="7" t="n"/>
      <c r="R20" s="12" t="n"/>
      <c r="S20" s="13">
        <f>IF(OR(R20="",J20=""),"",R20/J20-1)</f>
        <v/>
      </c>
      <c r="T20" s="14">
        <f>IF(OR(L20="",R20="",J20=""),"",SQRT(4+(L20^2-4)*(R20/J20)^2))</f>
        <v/>
      </c>
      <c r="U20" s="7" t="n"/>
      <c r="V20" s="7" t="n"/>
    </row>
    <row r="21">
      <c r="A21" s="7" t="inlineStr">
        <is>
          <t>L-3/8-0.5-i2</t>
        </is>
      </c>
      <c r="B21" s="7" t="inlineStr">
        <is>
          <t>3/8</t>
        </is>
      </c>
      <c r="C21" s="7" t="inlineStr">
        <is>
          <t>L</t>
        </is>
      </c>
      <c r="D21" s="7" t="inlineStr">
        <is>
          <t>Copper L</t>
        </is>
      </c>
      <c r="E21" s="7" t="n">
        <v>0.5</v>
      </c>
      <c r="F21" s="7" t="n">
        <v>2</v>
      </c>
      <c r="G21" s="8" t="n"/>
      <c r="H21" s="27" t="n"/>
      <c r="I21" s="27" t="n"/>
      <c r="J21" s="8" t="n"/>
      <c r="K21" s="8" t="n"/>
      <c r="L21" s="10" t="n"/>
      <c r="M21" s="8" t="n"/>
      <c r="N21" s="11">
        <f>IF(OR(J21="",H21="",I21=""),"",J21/((I21-H21)*1440))</f>
        <v/>
      </c>
      <c r="O21" s="7" t="n"/>
      <c r="P21" s="7" t="n"/>
      <c r="Q21" s="7" t="n"/>
      <c r="R21" s="12" t="n"/>
      <c r="S21" s="13">
        <f>IF(OR(R21="",J21=""),"",R21/J21-1)</f>
        <v/>
      </c>
      <c r="T21" s="14">
        <f>IF(OR(L21="",R21="",J21=""),"",SQRT(4+(L21^2-4)*(R21/J21)^2))</f>
        <v/>
      </c>
      <c r="U21" s="7" t="n"/>
      <c r="V21" s="7" t="n"/>
    </row>
    <row r="22">
      <c r="A22" s="7" t="inlineStr">
        <is>
          <t>L-3/8-0.5-i3</t>
        </is>
      </c>
      <c r="B22" s="7" t="inlineStr">
        <is>
          <t>3/8</t>
        </is>
      </c>
      <c r="C22" s="7" t="inlineStr">
        <is>
          <t>L</t>
        </is>
      </c>
      <c r="D22" s="7" t="inlineStr">
        <is>
          <t>Copper L</t>
        </is>
      </c>
      <c r="E22" s="7" t="n">
        <v>0.5</v>
      </c>
      <c r="F22" s="7" t="n">
        <v>3</v>
      </c>
      <c r="G22" s="8" t="n"/>
      <c r="H22" s="27" t="n"/>
      <c r="I22" s="27" t="n"/>
      <c r="J22" s="8" t="n"/>
      <c r="K22" s="8" t="n"/>
      <c r="L22" s="10" t="n"/>
      <c r="M22" s="8" t="n"/>
      <c r="N22" s="11">
        <f>IF(OR(J22="",H22="",I22=""),"",J22/((I22-H22)*1440))</f>
        <v/>
      </c>
      <c r="O22" s="7" t="n"/>
      <c r="P22" s="7" t="n"/>
      <c r="Q22" s="7" t="n"/>
      <c r="R22" s="12" t="n"/>
      <c r="S22" s="13">
        <f>IF(OR(R22="",J22=""),"",R22/J22-1)</f>
        <v/>
      </c>
      <c r="T22" s="14">
        <f>IF(OR(L22="",R22="",J22=""),"",SQRT(4+(L22^2-4)*(R22/J22)^2))</f>
        <v/>
      </c>
      <c r="U22" s="7" t="n"/>
      <c r="V22" s="7" t="n"/>
    </row>
    <row r="23">
      <c r="A23" s="7" t="inlineStr">
        <is>
          <t>L-3/8-1-i1</t>
        </is>
      </c>
      <c r="B23" s="7" t="inlineStr">
        <is>
          <t>3/8</t>
        </is>
      </c>
      <c r="C23" s="7" t="inlineStr">
        <is>
          <t>L</t>
        </is>
      </c>
      <c r="D23" s="7" t="inlineStr">
        <is>
          <t>Copper L</t>
        </is>
      </c>
      <c r="E23" s="7" t="n">
        <v>1</v>
      </c>
      <c r="F23" s="7" t="n">
        <v>1</v>
      </c>
      <c r="G23" s="8" t="n"/>
      <c r="H23" s="27" t="n"/>
      <c r="I23" s="27" t="n"/>
      <c r="J23" s="8" t="n"/>
      <c r="K23" s="8" t="n"/>
      <c r="L23" s="10" t="n"/>
      <c r="M23" s="8" t="n"/>
      <c r="N23" s="11">
        <f>IF(OR(J23="",H23="",I23=""),"",J23/((I23-H23)*1440))</f>
        <v/>
      </c>
      <c r="O23" s="7" t="n"/>
      <c r="P23" s="7" t="n"/>
      <c r="Q23" s="7" t="n"/>
      <c r="R23" s="12" t="n"/>
      <c r="S23" s="13">
        <f>IF(OR(R23="",J23=""),"",R23/J23-1)</f>
        <v/>
      </c>
      <c r="T23" s="14">
        <f>IF(OR(L23="",R23="",J23=""),"",SQRT(4+(L23^2-4)*(R23/J23)^2))</f>
        <v/>
      </c>
      <c r="U23" s="7" t="n"/>
      <c r="V23" s="7" t="n"/>
    </row>
    <row r="24">
      <c r="A24" s="7" t="inlineStr">
        <is>
          <t>L-3/8-1-i2</t>
        </is>
      </c>
      <c r="B24" s="7" t="inlineStr">
        <is>
          <t>3/8</t>
        </is>
      </c>
      <c r="C24" s="7" t="inlineStr">
        <is>
          <t>L</t>
        </is>
      </c>
      <c r="D24" s="7" t="inlineStr">
        <is>
          <t>Copper L</t>
        </is>
      </c>
      <c r="E24" s="7" t="n">
        <v>1</v>
      </c>
      <c r="F24" s="7" t="n">
        <v>2</v>
      </c>
      <c r="G24" s="8" t="n"/>
      <c r="H24" s="27" t="n"/>
      <c r="I24" s="27" t="n"/>
      <c r="J24" s="8" t="n"/>
      <c r="K24" s="8" t="n"/>
      <c r="L24" s="10" t="n"/>
      <c r="M24" s="8" t="n"/>
      <c r="N24" s="11">
        <f>IF(OR(J24="",H24="",I24=""),"",J24/((I24-H24)*1440))</f>
        <v/>
      </c>
      <c r="O24" s="7" t="n"/>
      <c r="P24" s="7" t="n"/>
      <c r="Q24" s="7" t="n"/>
      <c r="R24" s="12" t="n"/>
      <c r="S24" s="13">
        <f>IF(OR(R24="",J24=""),"",R24/J24-1)</f>
        <v/>
      </c>
      <c r="T24" s="14">
        <f>IF(OR(L24="",R24="",J24=""),"",SQRT(4+(L24^2-4)*(R24/J24)^2))</f>
        <v/>
      </c>
      <c r="U24" s="7" t="n"/>
      <c r="V24" s="7" t="n"/>
    </row>
    <row r="25">
      <c r="A25" s="7" t="inlineStr">
        <is>
          <t>L-3/8-1-i3</t>
        </is>
      </c>
      <c r="B25" s="7" t="inlineStr">
        <is>
          <t>3/8</t>
        </is>
      </c>
      <c r="C25" s="7" t="inlineStr">
        <is>
          <t>L</t>
        </is>
      </c>
      <c r="D25" s="7" t="inlineStr">
        <is>
          <t>Copper L</t>
        </is>
      </c>
      <c r="E25" s="7" t="n">
        <v>1</v>
      </c>
      <c r="F25" s="7" t="n">
        <v>3</v>
      </c>
      <c r="G25" s="8" t="n"/>
      <c r="H25" s="27" t="n"/>
      <c r="I25" s="27" t="n"/>
      <c r="J25" s="8" t="n"/>
      <c r="K25" s="8" t="n"/>
      <c r="L25" s="10" t="n"/>
      <c r="M25" s="8" t="n"/>
      <c r="N25" s="11">
        <f>IF(OR(J25="",H25="",I25=""),"",J25/((I25-H25)*1440))</f>
        <v/>
      </c>
      <c r="O25" s="7" t="n"/>
      <c r="P25" s="7" t="n"/>
      <c r="Q25" s="7" t="n"/>
      <c r="R25" s="12" t="n"/>
      <c r="S25" s="13">
        <f>IF(OR(R25="",J25=""),"",R25/J25-1)</f>
        <v/>
      </c>
      <c r="T25" s="14">
        <f>IF(OR(L25="",R25="",J25=""),"",SQRT(4+(L25^2-4)*(R25/J25)^2))</f>
        <v/>
      </c>
      <c r="U25" s="7" t="n"/>
      <c r="V25" s="7" t="n"/>
    </row>
    <row r="26">
      <c r="A26" s="7" t="inlineStr">
        <is>
          <t>L-3/8-3-i1</t>
        </is>
      </c>
      <c r="B26" s="7" t="inlineStr">
        <is>
          <t>3/8</t>
        </is>
      </c>
      <c r="C26" s="7" t="inlineStr">
        <is>
          <t>L</t>
        </is>
      </c>
      <c r="D26" s="7" t="inlineStr">
        <is>
          <t>Copper L</t>
        </is>
      </c>
      <c r="E26" s="7" t="n">
        <v>3</v>
      </c>
      <c r="F26" s="7" t="n">
        <v>1</v>
      </c>
      <c r="G26" s="8" t="n"/>
      <c r="H26" s="27" t="n"/>
      <c r="I26" s="27" t="n"/>
      <c r="J26" s="8" t="n"/>
      <c r="K26" s="8" t="n"/>
      <c r="L26" s="10" t="n"/>
      <c r="M26" s="8" t="n"/>
      <c r="N26" s="11">
        <f>IF(OR(J26="",H26="",I26=""),"",J26/((I26-H26)*1440))</f>
        <v/>
      </c>
      <c r="O26" s="7" t="n"/>
      <c r="P26" s="7" t="n"/>
      <c r="Q26" s="7" t="n"/>
      <c r="R26" s="12" t="n"/>
      <c r="S26" s="13">
        <f>IF(OR(R26="",J26=""),"",R26/J26-1)</f>
        <v/>
      </c>
      <c r="T26" s="14">
        <f>IF(OR(L26="",R26="",J26=""),"",SQRT(4+(L26^2-4)*(R26/J26)^2))</f>
        <v/>
      </c>
      <c r="U26" s="7" t="n"/>
      <c r="V26" s="7" t="n"/>
    </row>
    <row r="27">
      <c r="A27" s="7" t="inlineStr">
        <is>
          <t>L-3/8-3-i2</t>
        </is>
      </c>
      <c r="B27" s="7" t="inlineStr">
        <is>
          <t>3/8</t>
        </is>
      </c>
      <c r="C27" s="7" t="inlineStr">
        <is>
          <t>L</t>
        </is>
      </c>
      <c r="D27" s="7" t="inlineStr">
        <is>
          <t>Copper L</t>
        </is>
      </c>
      <c r="E27" s="7" t="n">
        <v>3</v>
      </c>
      <c r="F27" s="7" t="n">
        <v>2</v>
      </c>
      <c r="G27" s="8" t="n"/>
      <c r="H27" s="27" t="n"/>
      <c r="I27" s="27" t="n"/>
      <c r="J27" s="8" t="n"/>
      <c r="K27" s="8" t="n"/>
      <c r="L27" s="10" t="n"/>
      <c r="M27" s="8" t="n"/>
      <c r="N27" s="11">
        <f>IF(OR(J27="",H27="",I27=""),"",J27/((I27-H27)*1440))</f>
        <v/>
      </c>
      <c r="O27" s="7" t="n"/>
      <c r="P27" s="7" t="n"/>
      <c r="Q27" s="7" t="n"/>
      <c r="R27" s="12" t="n"/>
      <c r="S27" s="13">
        <f>IF(OR(R27="",J27=""),"",R27/J27-1)</f>
        <v/>
      </c>
      <c r="T27" s="14">
        <f>IF(OR(L27="",R27="",J27=""),"",SQRT(4+(L27^2-4)*(R27/J27)^2))</f>
        <v/>
      </c>
      <c r="U27" s="7" t="n"/>
      <c r="V27" s="7" t="n"/>
    </row>
    <row r="28">
      <c r="A28" s="7" t="inlineStr">
        <is>
          <t>L-3/8-3-i3</t>
        </is>
      </c>
      <c r="B28" s="7" t="inlineStr">
        <is>
          <t>3/8</t>
        </is>
      </c>
      <c r="C28" s="7" t="inlineStr">
        <is>
          <t>L</t>
        </is>
      </c>
      <c r="D28" s="7" t="inlineStr">
        <is>
          <t>Copper L</t>
        </is>
      </c>
      <c r="E28" s="7" t="n">
        <v>3</v>
      </c>
      <c r="F28" s="7" t="n">
        <v>3</v>
      </c>
      <c r="G28" s="8" t="n"/>
      <c r="H28" s="27" t="n"/>
      <c r="I28" s="27" t="n"/>
      <c r="J28" s="8" t="n"/>
      <c r="K28" s="8" t="n"/>
      <c r="L28" s="10" t="n"/>
      <c r="M28" s="8" t="n"/>
      <c r="N28" s="11">
        <f>IF(OR(J28="",H28="",I28=""),"",J28/((I28-H28)*1440))</f>
        <v/>
      </c>
      <c r="O28" s="7" t="n"/>
      <c r="P28" s="7" t="n"/>
      <c r="Q28" s="7" t="n"/>
      <c r="R28" s="12" t="n"/>
      <c r="S28" s="13">
        <f>IF(OR(R28="",J28=""),"",R28/J28-1)</f>
        <v/>
      </c>
      <c r="T28" s="14">
        <f>IF(OR(L28="",R28="",J28=""),"",SQRT(4+(L28^2-4)*(R28/J28)^2))</f>
        <v/>
      </c>
      <c r="U28" s="7" t="n"/>
      <c r="V28" s="7" t="n"/>
    </row>
    <row r="29">
      <c r="A29" s="7" t="inlineStr">
        <is>
          <t>L-3/8-5-i1</t>
        </is>
      </c>
      <c r="B29" s="7" t="inlineStr">
        <is>
          <t>3/8</t>
        </is>
      </c>
      <c r="C29" s="7" t="inlineStr">
        <is>
          <t>L</t>
        </is>
      </c>
      <c r="D29" s="7" t="inlineStr">
        <is>
          <t>Copper L</t>
        </is>
      </c>
      <c r="E29" s="7" t="n">
        <v>5</v>
      </c>
      <c r="F29" s="7" t="n">
        <v>1</v>
      </c>
      <c r="G29" s="8" t="n"/>
      <c r="H29" s="27" t="n"/>
      <c r="I29" s="27" t="n"/>
      <c r="J29" s="8" t="n"/>
      <c r="K29" s="8" t="n"/>
      <c r="L29" s="10" t="n"/>
      <c r="M29" s="8" t="n"/>
      <c r="N29" s="11">
        <f>IF(OR(J29="",H29="",I29=""),"",J29/((I29-H29)*1440))</f>
        <v/>
      </c>
      <c r="O29" s="7" t="n"/>
      <c r="P29" s="7" t="n"/>
      <c r="Q29" s="7" t="n"/>
      <c r="R29" s="12" t="n"/>
      <c r="S29" s="13">
        <f>IF(OR(R29="",J29=""),"",R29/J29-1)</f>
        <v/>
      </c>
      <c r="T29" s="14">
        <f>IF(OR(L29="",R29="",J29=""),"",SQRT(4+(L29^2-4)*(R29/J29)^2))</f>
        <v/>
      </c>
      <c r="U29" s="7" t="n"/>
      <c r="V29" s="7" t="n"/>
    </row>
    <row r="30">
      <c r="A30" s="7" t="inlineStr">
        <is>
          <t>L-3/8-5-i2</t>
        </is>
      </c>
      <c r="B30" s="7" t="inlineStr">
        <is>
          <t>3/8</t>
        </is>
      </c>
      <c r="C30" s="7" t="inlineStr">
        <is>
          <t>L</t>
        </is>
      </c>
      <c r="D30" s="7" t="inlineStr">
        <is>
          <t>Copper L</t>
        </is>
      </c>
      <c r="E30" s="7" t="n">
        <v>5</v>
      </c>
      <c r="F30" s="7" t="n">
        <v>2</v>
      </c>
      <c r="G30" s="8" t="n"/>
      <c r="H30" s="27" t="n"/>
      <c r="I30" s="27" t="n"/>
      <c r="J30" s="8" t="n"/>
      <c r="K30" s="8" t="n"/>
      <c r="L30" s="10" t="n"/>
      <c r="M30" s="8" t="n"/>
      <c r="N30" s="11">
        <f>IF(OR(J30="",H30="",I30=""),"",J30/((I30-H30)*1440))</f>
        <v/>
      </c>
      <c r="O30" s="7" t="n"/>
      <c r="P30" s="7" t="n"/>
      <c r="Q30" s="7" t="n"/>
      <c r="R30" s="12" t="n"/>
      <c r="S30" s="13">
        <f>IF(OR(R30="",J30=""),"",R30/J30-1)</f>
        <v/>
      </c>
      <c r="T30" s="14">
        <f>IF(OR(L30="",R30="",J30=""),"",SQRT(4+(L30^2-4)*(R30/J30)^2))</f>
        <v/>
      </c>
      <c r="U30" s="7" t="n"/>
      <c r="V30" s="7" t="n"/>
    </row>
    <row r="31">
      <c r="A31" s="7" t="inlineStr">
        <is>
          <t>L-3/8-5-i3</t>
        </is>
      </c>
      <c r="B31" s="7" t="inlineStr">
        <is>
          <t>3/8</t>
        </is>
      </c>
      <c r="C31" s="7" t="inlineStr">
        <is>
          <t>L</t>
        </is>
      </c>
      <c r="D31" s="7" t="inlineStr">
        <is>
          <t>Copper L</t>
        </is>
      </c>
      <c r="E31" s="7" t="n">
        <v>5</v>
      </c>
      <c r="F31" s="7" t="n">
        <v>3</v>
      </c>
      <c r="G31" s="8" t="n"/>
      <c r="H31" s="27" t="n"/>
      <c r="I31" s="27" t="n"/>
      <c r="J31" s="8" t="n"/>
      <c r="K31" s="8" t="n"/>
      <c r="L31" s="10" t="n"/>
      <c r="M31" s="8" t="n"/>
      <c r="N31" s="11">
        <f>IF(OR(J31="",H31="",I31=""),"",J31/((I31-H31)*1440))</f>
        <v/>
      </c>
      <c r="O31" s="7" t="n"/>
      <c r="P31" s="7" t="n"/>
      <c r="Q31" s="7" t="n"/>
      <c r="R31" s="12" t="n"/>
      <c r="S31" s="13">
        <f>IF(OR(R31="",J31=""),"",R31/J31-1)</f>
        <v/>
      </c>
      <c r="T31" s="14">
        <f>IF(OR(L31="",R31="",J31=""),"",SQRT(4+(L31^2-4)*(R31/J31)^2))</f>
        <v/>
      </c>
      <c r="U31" s="7" t="n"/>
      <c r="V31" s="7" t="n"/>
    </row>
    <row r="32">
      <c r="A32" s="7" t="inlineStr">
        <is>
          <t>L-3/8-10-i1</t>
        </is>
      </c>
      <c r="B32" s="7" t="inlineStr">
        <is>
          <t>3/8</t>
        </is>
      </c>
      <c r="C32" s="7" t="inlineStr">
        <is>
          <t>L</t>
        </is>
      </c>
      <c r="D32" s="7" t="inlineStr">
        <is>
          <t>Copper L</t>
        </is>
      </c>
      <c r="E32" s="7" t="n">
        <v>10</v>
      </c>
      <c r="F32" s="7" t="n">
        <v>1</v>
      </c>
      <c r="G32" s="8" t="n"/>
      <c r="H32" s="27" t="n"/>
      <c r="I32" s="27" t="n"/>
      <c r="J32" s="8" t="n"/>
      <c r="K32" s="8" t="n"/>
      <c r="L32" s="10" t="n"/>
      <c r="M32" s="8" t="n"/>
      <c r="N32" s="11">
        <f>IF(OR(J32="",H32="",I32=""),"",J32/((I32-H32)*1440))</f>
        <v/>
      </c>
      <c r="O32" s="7" t="n"/>
      <c r="P32" s="7" t="n"/>
      <c r="Q32" s="7" t="n"/>
      <c r="R32" s="12" t="n"/>
      <c r="S32" s="13">
        <f>IF(OR(R32="",J32=""),"",R32/J32-1)</f>
        <v/>
      </c>
      <c r="T32" s="14">
        <f>IF(OR(L32="",R32="",J32=""),"",SQRT(4+(L32^2-4)*(R32/J32)^2))</f>
        <v/>
      </c>
      <c r="U32" s="7" t="n"/>
      <c r="V32" s="7" t="n"/>
    </row>
    <row r="33">
      <c r="A33" s="7" t="inlineStr">
        <is>
          <t>L-3/8-10-i2</t>
        </is>
      </c>
      <c r="B33" s="7" t="inlineStr">
        <is>
          <t>3/8</t>
        </is>
      </c>
      <c r="C33" s="7" t="inlineStr">
        <is>
          <t>L</t>
        </is>
      </c>
      <c r="D33" s="7" t="inlineStr">
        <is>
          <t>Copper L</t>
        </is>
      </c>
      <c r="E33" s="7" t="n">
        <v>10</v>
      </c>
      <c r="F33" s="7" t="n">
        <v>2</v>
      </c>
      <c r="G33" s="8" t="n"/>
      <c r="H33" s="27" t="n"/>
      <c r="I33" s="27" t="n"/>
      <c r="J33" s="8" t="n"/>
      <c r="K33" s="8" t="n"/>
      <c r="L33" s="10" t="n"/>
      <c r="M33" s="8" t="n"/>
      <c r="N33" s="11">
        <f>IF(OR(J33="",H33="",I33=""),"",J33/((I33-H33)*1440))</f>
        <v/>
      </c>
      <c r="O33" s="7" t="n"/>
      <c r="P33" s="7" t="n"/>
      <c r="Q33" s="7" t="n"/>
      <c r="R33" s="12" t="n"/>
      <c r="S33" s="13">
        <f>IF(OR(R33="",J33=""),"",R33/J33-1)</f>
        <v/>
      </c>
      <c r="T33" s="14">
        <f>IF(OR(L33="",R33="",J33=""),"",SQRT(4+(L33^2-4)*(R33/J33)^2))</f>
        <v/>
      </c>
      <c r="U33" s="7" t="n"/>
      <c r="V33" s="7" t="n"/>
    </row>
    <row r="34">
      <c r="A34" s="7" t="inlineStr">
        <is>
          <t>L-3/8-10-i3</t>
        </is>
      </c>
      <c r="B34" s="7" t="inlineStr">
        <is>
          <t>3/8</t>
        </is>
      </c>
      <c r="C34" s="7" t="inlineStr">
        <is>
          <t>L</t>
        </is>
      </c>
      <c r="D34" s="7" t="inlineStr">
        <is>
          <t>Copper L</t>
        </is>
      </c>
      <c r="E34" s="7" t="n">
        <v>10</v>
      </c>
      <c r="F34" s="7" t="n">
        <v>3</v>
      </c>
      <c r="G34" s="8" t="n"/>
      <c r="H34" s="27" t="n"/>
      <c r="I34" s="27" t="n"/>
      <c r="J34" s="8" t="n"/>
      <c r="K34" s="8" t="n"/>
      <c r="L34" s="10" t="n"/>
      <c r="M34" s="8" t="n"/>
      <c r="N34" s="11">
        <f>IF(OR(J34="",H34="",I34=""),"",J34/((I34-H34)*1440))</f>
        <v/>
      </c>
      <c r="O34" s="7" t="n"/>
      <c r="P34" s="7" t="n"/>
      <c r="Q34" s="7" t="n"/>
      <c r="R34" s="12" t="n"/>
      <c r="S34" s="13">
        <f>IF(OR(R34="",J34=""),"",R34/J34-1)</f>
        <v/>
      </c>
      <c r="T34" s="14">
        <f>IF(OR(L34="",R34="",J34=""),"",SQRT(4+(L34^2-4)*(R34/J34)^2))</f>
        <v/>
      </c>
      <c r="U34" s="7" t="n"/>
      <c r="V34" s="7" t="n"/>
    </row>
    <row r="35">
      <c r="A35" s="7" t="inlineStr">
        <is>
          <t>M-3/8-0.5-i1</t>
        </is>
      </c>
      <c r="B35" s="7" t="inlineStr">
        <is>
          <t>3/8</t>
        </is>
      </c>
      <c r="C35" s="7" t="inlineStr">
        <is>
          <t>M</t>
        </is>
      </c>
      <c r="D35" s="7" t="inlineStr">
        <is>
          <t>Copper M</t>
        </is>
      </c>
      <c r="E35" s="7" t="n">
        <v>0.5</v>
      </c>
      <c r="F35" s="7" t="n">
        <v>1</v>
      </c>
      <c r="G35" s="8" t="n"/>
      <c r="H35" s="27" t="n"/>
      <c r="I35" s="27" t="n"/>
      <c r="J35" s="8" t="n"/>
      <c r="K35" s="8" t="n"/>
      <c r="L35" s="10" t="n"/>
      <c r="M35" s="8" t="n"/>
      <c r="N35" s="11">
        <f>IF(OR(J35="",H35="",I35=""),"",J35/((I35-H35)*1440))</f>
        <v/>
      </c>
      <c r="O35" s="7" t="n"/>
      <c r="P35" s="7" t="n"/>
      <c r="Q35" s="7" t="n"/>
      <c r="R35" s="12" t="n"/>
      <c r="S35" s="13">
        <f>IF(OR(R35="",J35=""),"",R35/J35-1)</f>
        <v/>
      </c>
      <c r="T35" s="14">
        <f>IF(OR(L35="",R35="",J35=""),"",SQRT(4+(L35^2-4)*(R35/J35)^2))</f>
        <v/>
      </c>
      <c r="U35" s="7" t="n"/>
      <c r="V35" s="7" t="n"/>
    </row>
    <row r="36">
      <c r="A36" s="7" t="inlineStr">
        <is>
          <t>M-3/8-0.5-i2</t>
        </is>
      </c>
      <c r="B36" s="7" t="inlineStr">
        <is>
          <t>3/8</t>
        </is>
      </c>
      <c r="C36" s="7" t="inlineStr">
        <is>
          <t>M</t>
        </is>
      </c>
      <c r="D36" s="7" t="inlineStr">
        <is>
          <t>Copper M</t>
        </is>
      </c>
      <c r="E36" s="7" t="n">
        <v>0.5</v>
      </c>
      <c r="F36" s="7" t="n">
        <v>2</v>
      </c>
      <c r="G36" s="8" t="n"/>
      <c r="H36" s="27" t="n"/>
      <c r="I36" s="27" t="n"/>
      <c r="J36" s="8" t="n"/>
      <c r="K36" s="8" t="n"/>
      <c r="L36" s="10" t="n"/>
      <c r="M36" s="8" t="n"/>
      <c r="N36" s="11">
        <f>IF(OR(J36="",H36="",I36=""),"",J36/((I36-H36)*1440))</f>
        <v/>
      </c>
      <c r="O36" s="7" t="n"/>
      <c r="P36" s="7" t="n"/>
      <c r="Q36" s="7" t="n"/>
      <c r="R36" s="12" t="n"/>
      <c r="S36" s="13">
        <f>IF(OR(R36="",J36=""),"",R36/J36-1)</f>
        <v/>
      </c>
      <c r="T36" s="14">
        <f>IF(OR(L36="",R36="",J36=""),"",SQRT(4+(L36^2-4)*(R36/J36)^2))</f>
        <v/>
      </c>
      <c r="U36" s="7" t="n"/>
      <c r="V36" s="7" t="n"/>
    </row>
    <row r="37">
      <c r="A37" s="7" t="inlineStr">
        <is>
          <t>M-3/8-0.5-i3</t>
        </is>
      </c>
      <c r="B37" s="7" t="inlineStr">
        <is>
          <t>3/8</t>
        </is>
      </c>
      <c r="C37" s="7" t="inlineStr">
        <is>
          <t>M</t>
        </is>
      </c>
      <c r="D37" s="7" t="inlineStr">
        <is>
          <t>Copper M</t>
        </is>
      </c>
      <c r="E37" s="7" t="n">
        <v>0.5</v>
      </c>
      <c r="F37" s="7" t="n">
        <v>3</v>
      </c>
      <c r="G37" s="8" t="n"/>
      <c r="H37" s="27" t="n"/>
      <c r="I37" s="27" t="n"/>
      <c r="J37" s="8" t="n"/>
      <c r="K37" s="8" t="n"/>
      <c r="L37" s="10" t="n"/>
      <c r="M37" s="8" t="n"/>
      <c r="N37" s="11">
        <f>IF(OR(J37="",H37="",I37=""),"",J37/((I37-H37)*1440))</f>
        <v/>
      </c>
      <c r="O37" s="7" t="n"/>
      <c r="P37" s="7" t="n"/>
      <c r="Q37" s="7" t="n"/>
      <c r="R37" s="12" t="n"/>
      <c r="S37" s="13">
        <f>IF(OR(R37="",J37=""),"",R37/J37-1)</f>
        <v/>
      </c>
      <c r="T37" s="14">
        <f>IF(OR(L37="",R37="",J37=""),"",SQRT(4+(L37^2-4)*(R37/J37)^2))</f>
        <v/>
      </c>
      <c r="U37" s="7" t="n"/>
      <c r="V37" s="7" t="n"/>
    </row>
    <row r="38">
      <c r="A38" s="7" t="inlineStr">
        <is>
          <t>M-3/8-1-i1</t>
        </is>
      </c>
      <c r="B38" s="7" t="inlineStr">
        <is>
          <t>3/8</t>
        </is>
      </c>
      <c r="C38" s="7" t="inlineStr">
        <is>
          <t>M</t>
        </is>
      </c>
      <c r="D38" s="7" t="inlineStr">
        <is>
          <t>Copper M</t>
        </is>
      </c>
      <c r="E38" s="7" t="n">
        <v>1</v>
      </c>
      <c r="F38" s="7" t="n">
        <v>1</v>
      </c>
      <c r="G38" s="8" t="n"/>
      <c r="H38" s="27" t="n"/>
      <c r="I38" s="27" t="n"/>
      <c r="J38" s="8" t="n"/>
      <c r="K38" s="8" t="n"/>
      <c r="L38" s="10" t="n"/>
      <c r="M38" s="8" t="n"/>
      <c r="N38" s="11">
        <f>IF(OR(J38="",H38="",I38=""),"",J38/((I38-H38)*1440))</f>
        <v/>
      </c>
      <c r="O38" s="7" t="n"/>
      <c r="P38" s="7" t="n"/>
      <c r="Q38" s="7" t="n"/>
      <c r="R38" s="12" t="n"/>
      <c r="S38" s="13">
        <f>IF(OR(R38="",J38=""),"",R38/J38-1)</f>
        <v/>
      </c>
      <c r="T38" s="14">
        <f>IF(OR(L38="",R38="",J38=""),"",SQRT(4+(L38^2-4)*(R38/J38)^2))</f>
        <v/>
      </c>
      <c r="U38" s="7" t="n"/>
      <c r="V38" s="7" t="n"/>
    </row>
    <row r="39">
      <c r="A39" s="7" t="inlineStr">
        <is>
          <t>M-3/8-1-i2</t>
        </is>
      </c>
      <c r="B39" s="7" t="inlineStr">
        <is>
          <t>3/8</t>
        </is>
      </c>
      <c r="C39" s="7" t="inlineStr">
        <is>
          <t>M</t>
        </is>
      </c>
      <c r="D39" s="7" t="inlineStr">
        <is>
          <t>Copper M</t>
        </is>
      </c>
      <c r="E39" s="7" t="n">
        <v>1</v>
      </c>
      <c r="F39" s="7" t="n">
        <v>2</v>
      </c>
      <c r="G39" s="8" t="n"/>
      <c r="H39" s="27" t="n"/>
      <c r="I39" s="27" t="n"/>
      <c r="J39" s="8" t="n"/>
      <c r="K39" s="8" t="n"/>
      <c r="L39" s="10" t="n"/>
      <c r="M39" s="8" t="n"/>
      <c r="N39" s="11">
        <f>IF(OR(J39="",H39="",I39=""),"",J39/((I39-H39)*1440))</f>
        <v/>
      </c>
      <c r="O39" s="7" t="n"/>
      <c r="P39" s="7" t="n"/>
      <c r="Q39" s="7" t="n"/>
      <c r="R39" s="12" t="n"/>
      <c r="S39" s="13">
        <f>IF(OR(R39="",J39=""),"",R39/J39-1)</f>
        <v/>
      </c>
      <c r="T39" s="14">
        <f>IF(OR(L39="",R39="",J39=""),"",SQRT(4+(L39^2-4)*(R39/J39)^2))</f>
        <v/>
      </c>
      <c r="U39" s="7" t="n"/>
      <c r="V39" s="7" t="n"/>
    </row>
    <row r="40">
      <c r="A40" s="7" t="inlineStr">
        <is>
          <t>M-3/8-1-i3</t>
        </is>
      </c>
      <c r="B40" s="7" t="inlineStr">
        <is>
          <t>3/8</t>
        </is>
      </c>
      <c r="C40" s="7" t="inlineStr">
        <is>
          <t>M</t>
        </is>
      </c>
      <c r="D40" s="7" t="inlineStr">
        <is>
          <t>Copper M</t>
        </is>
      </c>
      <c r="E40" s="7" t="n">
        <v>1</v>
      </c>
      <c r="F40" s="7" t="n">
        <v>3</v>
      </c>
      <c r="G40" s="8" t="n"/>
      <c r="H40" s="27" t="n"/>
      <c r="I40" s="27" t="n"/>
      <c r="J40" s="8" t="n"/>
      <c r="K40" s="8" t="n"/>
      <c r="L40" s="10" t="n"/>
      <c r="M40" s="8" t="n"/>
      <c r="N40" s="11">
        <f>IF(OR(J40="",H40="",I40=""),"",J40/((I40-H40)*1440))</f>
        <v/>
      </c>
      <c r="O40" s="7" t="n"/>
      <c r="P40" s="7" t="n"/>
      <c r="Q40" s="7" t="n"/>
      <c r="R40" s="12" t="n"/>
      <c r="S40" s="13">
        <f>IF(OR(R40="",J40=""),"",R40/J40-1)</f>
        <v/>
      </c>
      <c r="T40" s="14">
        <f>IF(OR(L40="",R40="",J40=""),"",SQRT(4+(L40^2-4)*(R40/J40)^2))</f>
        <v/>
      </c>
      <c r="U40" s="7" t="n"/>
      <c r="V40" s="7" t="n"/>
    </row>
    <row r="41">
      <c r="A41" s="7" t="inlineStr">
        <is>
          <t>M-3/8-3-i1</t>
        </is>
      </c>
      <c r="B41" s="7" t="inlineStr">
        <is>
          <t>3/8</t>
        </is>
      </c>
      <c r="C41" s="7" t="inlineStr">
        <is>
          <t>M</t>
        </is>
      </c>
      <c r="D41" s="7" t="inlineStr">
        <is>
          <t>Copper M</t>
        </is>
      </c>
      <c r="E41" s="7" t="n">
        <v>3</v>
      </c>
      <c r="F41" s="7" t="n">
        <v>1</v>
      </c>
      <c r="G41" s="8" t="n"/>
      <c r="H41" s="27" t="n"/>
      <c r="I41" s="27" t="n"/>
      <c r="J41" s="8" t="n"/>
      <c r="K41" s="8" t="n"/>
      <c r="L41" s="10" t="n"/>
      <c r="M41" s="8" t="n"/>
      <c r="N41" s="11">
        <f>IF(OR(J41="",H41="",I41=""),"",J41/((I41-H41)*1440))</f>
        <v/>
      </c>
      <c r="O41" s="7" t="n"/>
      <c r="P41" s="7" t="n"/>
      <c r="Q41" s="7" t="n"/>
      <c r="R41" s="12" t="n"/>
      <c r="S41" s="13">
        <f>IF(OR(R41="",J41=""),"",R41/J41-1)</f>
        <v/>
      </c>
      <c r="T41" s="14">
        <f>IF(OR(L41="",R41="",J41=""),"",SQRT(4+(L41^2-4)*(R41/J41)^2))</f>
        <v/>
      </c>
      <c r="U41" s="7" t="n"/>
      <c r="V41" s="7" t="n"/>
    </row>
    <row r="42">
      <c r="A42" s="7" t="inlineStr">
        <is>
          <t>M-3/8-3-i2</t>
        </is>
      </c>
      <c r="B42" s="7" t="inlineStr">
        <is>
          <t>3/8</t>
        </is>
      </c>
      <c r="C42" s="7" t="inlineStr">
        <is>
          <t>M</t>
        </is>
      </c>
      <c r="D42" s="7" t="inlineStr">
        <is>
          <t>Copper M</t>
        </is>
      </c>
      <c r="E42" s="7" t="n">
        <v>3</v>
      </c>
      <c r="F42" s="7" t="n">
        <v>2</v>
      </c>
      <c r="G42" s="8" t="n"/>
      <c r="H42" s="27" t="n"/>
      <c r="I42" s="27" t="n"/>
      <c r="J42" s="8" t="n"/>
      <c r="K42" s="8" t="n"/>
      <c r="L42" s="10" t="n"/>
      <c r="M42" s="8" t="n"/>
      <c r="N42" s="11">
        <f>IF(OR(J42="",H42="",I42=""),"",J42/((I42-H42)*1440))</f>
        <v/>
      </c>
      <c r="O42" s="7" t="n"/>
      <c r="P42" s="7" t="n"/>
      <c r="Q42" s="7" t="n"/>
      <c r="R42" s="12" t="n"/>
      <c r="S42" s="13">
        <f>IF(OR(R42="",J42=""),"",R42/J42-1)</f>
        <v/>
      </c>
      <c r="T42" s="14">
        <f>IF(OR(L42="",R42="",J42=""),"",SQRT(4+(L42^2-4)*(R42/J42)^2))</f>
        <v/>
      </c>
      <c r="U42" s="7" t="n"/>
      <c r="V42" s="7" t="n"/>
    </row>
    <row r="43">
      <c r="A43" s="7" t="inlineStr">
        <is>
          <t>M-3/8-3-i3</t>
        </is>
      </c>
      <c r="B43" s="7" t="inlineStr">
        <is>
          <t>3/8</t>
        </is>
      </c>
      <c r="C43" s="7" t="inlineStr">
        <is>
          <t>M</t>
        </is>
      </c>
      <c r="D43" s="7" t="inlineStr">
        <is>
          <t>Copper M</t>
        </is>
      </c>
      <c r="E43" s="7" t="n">
        <v>3</v>
      </c>
      <c r="F43" s="7" t="n">
        <v>3</v>
      </c>
      <c r="G43" s="8" t="n"/>
      <c r="H43" s="27" t="n"/>
      <c r="I43" s="27" t="n"/>
      <c r="J43" s="8" t="n"/>
      <c r="K43" s="8" t="n"/>
      <c r="L43" s="10" t="n"/>
      <c r="M43" s="8" t="n"/>
      <c r="N43" s="11">
        <f>IF(OR(J43="",H43="",I43=""),"",J43/((I43-H43)*1440))</f>
        <v/>
      </c>
      <c r="O43" s="7" t="n"/>
      <c r="P43" s="7" t="n"/>
      <c r="Q43" s="7" t="n"/>
      <c r="R43" s="12" t="n"/>
      <c r="S43" s="13">
        <f>IF(OR(R43="",J43=""),"",R43/J43-1)</f>
        <v/>
      </c>
      <c r="T43" s="14">
        <f>IF(OR(L43="",R43="",J43=""),"",SQRT(4+(L43^2-4)*(R43/J43)^2))</f>
        <v/>
      </c>
      <c r="U43" s="7" t="n"/>
      <c r="V43" s="7" t="n"/>
    </row>
    <row r="44">
      <c r="A44" s="7" t="inlineStr">
        <is>
          <t>M-3/8-5-i1</t>
        </is>
      </c>
      <c r="B44" s="7" t="inlineStr">
        <is>
          <t>3/8</t>
        </is>
      </c>
      <c r="C44" s="7" t="inlineStr">
        <is>
          <t>M</t>
        </is>
      </c>
      <c r="D44" s="7" t="inlineStr">
        <is>
          <t>Copper M</t>
        </is>
      </c>
      <c r="E44" s="7" t="n">
        <v>5</v>
      </c>
      <c r="F44" s="7" t="n">
        <v>1</v>
      </c>
      <c r="G44" s="8" t="n"/>
      <c r="H44" s="27" t="n"/>
      <c r="I44" s="27" t="n"/>
      <c r="J44" s="8" t="n"/>
      <c r="K44" s="8" t="n"/>
      <c r="L44" s="10" t="n"/>
      <c r="M44" s="8" t="n"/>
      <c r="N44" s="11">
        <f>IF(OR(J44="",H44="",I44=""),"",J44/((I44-H44)*1440))</f>
        <v/>
      </c>
      <c r="O44" s="7" t="n"/>
      <c r="P44" s="7" t="n"/>
      <c r="Q44" s="7" t="n"/>
      <c r="R44" s="12" t="n"/>
      <c r="S44" s="13">
        <f>IF(OR(R44="",J44=""),"",R44/J44-1)</f>
        <v/>
      </c>
      <c r="T44" s="14">
        <f>IF(OR(L44="",R44="",J44=""),"",SQRT(4+(L44^2-4)*(R44/J44)^2))</f>
        <v/>
      </c>
      <c r="U44" s="7" t="n"/>
      <c r="V44" s="7" t="n"/>
    </row>
    <row r="45">
      <c r="A45" s="7" t="inlineStr">
        <is>
          <t>M-3/8-5-i2</t>
        </is>
      </c>
      <c r="B45" s="7" t="inlineStr">
        <is>
          <t>3/8</t>
        </is>
      </c>
      <c r="C45" s="7" t="inlineStr">
        <is>
          <t>M</t>
        </is>
      </c>
      <c r="D45" s="7" t="inlineStr">
        <is>
          <t>Copper M</t>
        </is>
      </c>
      <c r="E45" s="7" t="n">
        <v>5</v>
      </c>
      <c r="F45" s="7" t="n">
        <v>2</v>
      </c>
      <c r="G45" s="8" t="n"/>
      <c r="H45" s="27" t="n"/>
      <c r="I45" s="27" t="n"/>
      <c r="J45" s="8" t="n"/>
      <c r="K45" s="8" t="n"/>
      <c r="L45" s="10" t="n"/>
      <c r="M45" s="8" t="n"/>
      <c r="N45" s="11">
        <f>IF(OR(J45="",H45="",I45=""),"",J45/((I45-H45)*1440))</f>
        <v/>
      </c>
      <c r="O45" s="7" t="n"/>
      <c r="P45" s="7" t="n"/>
      <c r="Q45" s="7" t="n"/>
      <c r="R45" s="12" t="n"/>
      <c r="S45" s="13">
        <f>IF(OR(R45="",J45=""),"",R45/J45-1)</f>
        <v/>
      </c>
      <c r="T45" s="14">
        <f>IF(OR(L45="",R45="",J45=""),"",SQRT(4+(L45^2-4)*(R45/J45)^2))</f>
        <v/>
      </c>
      <c r="U45" s="7" t="n"/>
      <c r="V45" s="7" t="n"/>
    </row>
    <row r="46">
      <c r="A46" s="7" t="inlineStr">
        <is>
          <t>M-3/8-5-i3</t>
        </is>
      </c>
      <c r="B46" s="7" t="inlineStr">
        <is>
          <t>3/8</t>
        </is>
      </c>
      <c r="C46" s="7" t="inlineStr">
        <is>
          <t>M</t>
        </is>
      </c>
      <c r="D46" s="7" t="inlineStr">
        <is>
          <t>Copper M</t>
        </is>
      </c>
      <c r="E46" s="7" t="n">
        <v>5</v>
      </c>
      <c r="F46" s="7" t="n">
        <v>3</v>
      </c>
      <c r="G46" s="8" t="n"/>
      <c r="H46" s="27" t="n"/>
      <c r="I46" s="27" t="n"/>
      <c r="J46" s="8" t="n"/>
      <c r="K46" s="8" t="n"/>
      <c r="L46" s="10" t="n"/>
      <c r="M46" s="8" t="n"/>
      <c r="N46" s="11">
        <f>IF(OR(J46="",H46="",I46=""),"",J46/((I46-H46)*1440))</f>
        <v/>
      </c>
      <c r="O46" s="7" t="n"/>
      <c r="P46" s="7" t="n"/>
      <c r="Q46" s="7" t="n"/>
      <c r="R46" s="12" t="n"/>
      <c r="S46" s="13">
        <f>IF(OR(R46="",J46=""),"",R46/J46-1)</f>
        <v/>
      </c>
      <c r="T46" s="14">
        <f>IF(OR(L46="",R46="",J46=""),"",SQRT(4+(L46^2-4)*(R46/J46)^2))</f>
        <v/>
      </c>
      <c r="U46" s="7" t="n"/>
      <c r="V46" s="7" t="n"/>
    </row>
    <row r="47">
      <c r="A47" s="7" t="inlineStr">
        <is>
          <t>M-3/8-10-i1</t>
        </is>
      </c>
      <c r="B47" s="7" t="inlineStr">
        <is>
          <t>3/8</t>
        </is>
      </c>
      <c r="C47" s="7" t="inlineStr">
        <is>
          <t>M</t>
        </is>
      </c>
      <c r="D47" s="7" t="inlineStr">
        <is>
          <t>Copper M</t>
        </is>
      </c>
      <c r="E47" s="7" t="n">
        <v>10</v>
      </c>
      <c r="F47" s="7" t="n">
        <v>1</v>
      </c>
      <c r="G47" s="8" t="n"/>
      <c r="H47" s="27" t="n"/>
      <c r="I47" s="27" t="n"/>
      <c r="J47" s="8" t="n"/>
      <c r="K47" s="8" t="n"/>
      <c r="L47" s="10" t="n"/>
      <c r="M47" s="8" t="n"/>
      <c r="N47" s="11">
        <f>IF(OR(J47="",H47="",I47=""),"",J47/((I47-H47)*1440))</f>
        <v/>
      </c>
      <c r="O47" s="7" t="n"/>
      <c r="P47" s="7" t="n"/>
      <c r="Q47" s="7" t="n"/>
      <c r="R47" s="12" t="n"/>
      <c r="S47" s="13">
        <f>IF(OR(R47="",J47=""),"",R47/J47-1)</f>
        <v/>
      </c>
      <c r="T47" s="14">
        <f>IF(OR(L47="",R47="",J47=""),"",SQRT(4+(L47^2-4)*(R47/J47)^2))</f>
        <v/>
      </c>
      <c r="U47" s="7" t="n"/>
      <c r="V47" s="7" t="n"/>
    </row>
    <row r="48">
      <c r="A48" s="7" t="inlineStr">
        <is>
          <t>M-3/8-10-i2</t>
        </is>
      </c>
      <c r="B48" s="7" t="inlineStr">
        <is>
          <t>3/8</t>
        </is>
      </c>
      <c r="C48" s="7" t="inlineStr">
        <is>
          <t>M</t>
        </is>
      </c>
      <c r="D48" s="7" t="inlineStr">
        <is>
          <t>Copper M</t>
        </is>
      </c>
      <c r="E48" s="7" t="n">
        <v>10</v>
      </c>
      <c r="F48" s="7" t="n">
        <v>2</v>
      </c>
      <c r="G48" s="8" t="n"/>
      <c r="H48" s="27" t="n"/>
      <c r="I48" s="27" t="n"/>
      <c r="J48" s="8" t="n"/>
      <c r="K48" s="8" t="n"/>
      <c r="L48" s="10" t="n"/>
      <c r="M48" s="8" t="n"/>
      <c r="N48" s="11">
        <f>IF(OR(J48="",H48="",I48=""),"",J48/((I48-H48)*1440))</f>
        <v/>
      </c>
      <c r="O48" s="7" t="n"/>
      <c r="P48" s="7" t="n"/>
      <c r="Q48" s="7" t="n"/>
      <c r="R48" s="12" t="n"/>
      <c r="S48" s="13">
        <f>IF(OR(R48="",J48=""),"",R48/J48-1)</f>
        <v/>
      </c>
      <c r="T48" s="14">
        <f>IF(OR(L48="",R48="",J48=""),"",SQRT(4+(L48^2-4)*(R48/J48)^2))</f>
        <v/>
      </c>
      <c r="U48" s="7" t="n"/>
      <c r="V48" s="7" t="n"/>
    </row>
    <row r="49">
      <c r="A49" s="7" t="inlineStr">
        <is>
          <t>M-3/8-10-i3</t>
        </is>
      </c>
      <c r="B49" s="7" t="inlineStr">
        <is>
          <t>3/8</t>
        </is>
      </c>
      <c r="C49" s="7" t="inlineStr">
        <is>
          <t>M</t>
        </is>
      </c>
      <c r="D49" s="7" t="inlineStr">
        <is>
          <t>Copper M</t>
        </is>
      </c>
      <c r="E49" s="7" t="n">
        <v>10</v>
      </c>
      <c r="F49" s="7" t="n">
        <v>3</v>
      </c>
      <c r="G49" s="8" t="n"/>
      <c r="H49" s="27" t="n"/>
      <c r="I49" s="27" t="n"/>
      <c r="J49" s="8" t="n"/>
      <c r="K49" s="8" t="n"/>
      <c r="L49" s="10" t="n"/>
      <c r="M49" s="8" t="n"/>
      <c r="N49" s="11">
        <f>IF(OR(J49="",H49="",I49=""),"",J49/((I49-H49)*1440))</f>
        <v/>
      </c>
      <c r="O49" s="7" t="n"/>
      <c r="P49" s="7" t="n"/>
      <c r="Q49" s="7" t="n"/>
      <c r="R49" s="12" t="n"/>
      <c r="S49" s="13">
        <f>IF(OR(R49="",J49=""),"",R49/J49-1)</f>
        <v/>
      </c>
      <c r="T49" s="14">
        <f>IF(OR(L49="",R49="",J49=""),"",SQRT(4+(L49^2-4)*(R49/J49)^2))</f>
        <v/>
      </c>
      <c r="U49" s="7" t="n"/>
      <c r="V49" s="7" t="n"/>
    </row>
    <row r="50">
      <c r="A50" s="7" t="inlineStr">
        <is>
          <t>P-3/8-0.5-i1</t>
        </is>
      </c>
      <c r="B50" s="7" t="inlineStr">
        <is>
          <t>3/8</t>
        </is>
      </c>
      <c r="C50" s="7" t="inlineStr">
        <is>
          <t>P</t>
        </is>
      </c>
      <c r="D50" s="7" t="inlineStr">
        <is>
          <t>PVC-40</t>
        </is>
      </c>
      <c r="E50" s="7" t="n">
        <v>0.5</v>
      </c>
      <c r="F50" s="7" t="n">
        <v>1</v>
      </c>
      <c r="G50" s="8" t="n"/>
      <c r="H50" s="27" t="n"/>
      <c r="I50" s="27" t="n"/>
      <c r="J50" s="8" t="n"/>
      <c r="K50" s="8" t="n"/>
      <c r="L50" s="10" t="n"/>
      <c r="M50" s="8" t="n"/>
      <c r="N50" s="11">
        <f>IF(OR(J50="",H50="",I50=""),"",J50/((I50-H50)*1440))</f>
        <v/>
      </c>
      <c r="O50" s="7" t="n"/>
      <c r="P50" s="7" t="n"/>
      <c r="Q50" s="7" t="n"/>
      <c r="R50" s="12" t="n"/>
      <c r="S50" s="13">
        <f>IF(OR(R50="",J50=""),"",R50/J50-1)</f>
        <v/>
      </c>
      <c r="T50" s="14">
        <f>IF(OR(L50="",R50="",J50=""),"",SQRT(4+(L50^2-4)*(R50/J50)^2))</f>
        <v/>
      </c>
      <c r="U50" s="7" t="n"/>
      <c r="V50" s="7" t="n"/>
    </row>
    <row r="51">
      <c r="A51" s="7" t="inlineStr">
        <is>
          <t>P-3/8-0.5-i2</t>
        </is>
      </c>
      <c r="B51" s="7" t="inlineStr">
        <is>
          <t>3/8</t>
        </is>
      </c>
      <c r="C51" s="7" t="inlineStr">
        <is>
          <t>P</t>
        </is>
      </c>
      <c r="D51" s="7" t="inlineStr">
        <is>
          <t>PVC-40</t>
        </is>
      </c>
      <c r="E51" s="7" t="n">
        <v>0.5</v>
      </c>
      <c r="F51" s="7" t="n">
        <v>2</v>
      </c>
      <c r="G51" s="8" t="n"/>
      <c r="H51" s="27" t="n"/>
      <c r="I51" s="27" t="n"/>
      <c r="J51" s="8" t="n"/>
      <c r="K51" s="8" t="n"/>
      <c r="L51" s="10" t="n"/>
      <c r="M51" s="8" t="n"/>
      <c r="N51" s="11">
        <f>IF(OR(J51="",H51="",I51=""),"",J51/((I51-H51)*1440))</f>
        <v/>
      </c>
      <c r="O51" s="7" t="n"/>
      <c r="P51" s="7" t="n"/>
      <c r="Q51" s="7" t="n"/>
      <c r="R51" s="12" t="n"/>
      <c r="S51" s="13">
        <f>IF(OR(R51="",J51=""),"",R51/J51-1)</f>
        <v/>
      </c>
      <c r="T51" s="14">
        <f>IF(OR(L51="",R51="",J51=""),"",SQRT(4+(L51^2-4)*(R51/J51)^2))</f>
        <v/>
      </c>
      <c r="U51" s="7" t="n"/>
      <c r="V51" s="7" t="n"/>
    </row>
    <row r="52">
      <c r="A52" s="7" t="inlineStr">
        <is>
          <t>P-3/8-0.5-i3</t>
        </is>
      </c>
      <c r="B52" s="7" t="inlineStr">
        <is>
          <t>3/8</t>
        </is>
      </c>
      <c r="C52" s="7" t="inlineStr">
        <is>
          <t>P</t>
        </is>
      </c>
      <c r="D52" s="7" t="inlineStr">
        <is>
          <t>PVC-40</t>
        </is>
      </c>
      <c r="E52" s="7" t="n">
        <v>0.5</v>
      </c>
      <c r="F52" s="7" t="n">
        <v>3</v>
      </c>
      <c r="G52" s="8" t="n"/>
      <c r="H52" s="27" t="n"/>
      <c r="I52" s="27" t="n"/>
      <c r="J52" s="8" t="n"/>
      <c r="K52" s="8" t="n"/>
      <c r="L52" s="10" t="n"/>
      <c r="M52" s="8" t="n"/>
      <c r="N52" s="11">
        <f>IF(OR(J52="",H52="",I52=""),"",J52/((I52-H52)*1440))</f>
        <v/>
      </c>
      <c r="O52" s="7" t="n"/>
      <c r="P52" s="7" t="n"/>
      <c r="Q52" s="7" t="n"/>
      <c r="R52" s="12" t="n"/>
      <c r="S52" s="13">
        <f>IF(OR(R52="",J52=""),"",R52/J52-1)</f>
        <v/>
      </c>
      <c r="T52" s="14">
        <f>IF(OR(L52="",R52="",J52=""),"",SQRT(4+(L52^2-4)*(R52/J52)^2))</f>
        <v/>
      </c>
      <c r="U52" s="7" t="n"/>
      <c r="V52" s="7" t="n"/>
    </row>
    <row r="53">
      <c r="A53" s="7" t="inlineStr">
        <is>
          <t>P-3/8-1-i1</t>
        </is>
      </c>
      <c r="B53" s="7" t="inlineStr">
        <is>
          <t>3/8</t>
        </is>
      </c>
      <c r="C53" s="7" t="inlineStr">
        <is>
          <t>P</t>
        </is>
      </c>
      <c r="D53" s="7" t="inlineStr">
        <is>
          <t>PVC-40</t>
        </is>
      </c>
      <c r="E53" s="7" t="n">
        <v>1</v>
      </c>
      <c r="F53" s="7" t="n">
        <v>1</v>
      </c>
      <c r="G53" s="8" t="n"/>
      <c r="H53" s="27" t="n"/>
      <c r="I53" s="27" t="n"/>
      <c r="J53" s="8" t="n"/>
      <c r="K53" s="8" t="n"/>
      <c r="L53" s="10" t="n"/>
      <c r="M53" s="8" t="n"/>
      <c r="N53" s="11">
        <f>IF(OR(J53="",H53="",I53=""),"",J53/((I53-H53)*1440))</f>
        <v/>
      </c>
      <c r="O53" s="7" t="n"/>
      <c r="P53" s="7" t="n"/>
      <c r="Q53" s="7" t="n"/>
      <c r="R53" s="12" t="n"/>
      <c r="S53" s="13">
        <f>IF(OR(R53="",J53=""),"",R53/J53-1)</f>
        <v/>
      </c>
      <c r="T53" s="14">
        <f>IF(OR(L53="",R53="",J53=""),"",SQRT(4+(L53^2-4)*(R53/J53)^2))</f>
        <v/>
      </c>
      <c r="U53" s="7" t="n"/>
      <c r="V53" s="7" t="n"/>
    </row>
    <row r="54">
      <c r="A54" s="7" t="inlineStr">
        <is>
          <t>P-3/8-1-i2</t>
        </is>
      </c>
      <c r="B54" s="7" t="inlineStr">
        <is>
          <t>3/8</t>
        </is>
      </c>
      <c r="C54" s="7" t="inlineStr">
        <is>
          <t>P</t>
        </is>
      </c>
      <c r="D54" s="7" t="inlineStr">
        <is>
          <t>PVC-40</t>
        </is>
      </c>
      <c r="E54" s="7" t="n">
        <v>1</v>
      </c>
      <c r="F54" s="7" t="n">
        <v>2</v>
      </c>
      <c r="G54" s="8" t="n"/>
      <c r="H54" s="27" t="n"/>
      <c r="I54" s="27" t="n"/>
      <c r="J54" s="8" t="n"/>
      <c r="K54" s="8" t="n"/>
      <c r="L54" s="10" t="n"/>
      <c r="M54" s="8" t="n"/>
      <c r="N54" s="11">
        <f>IF(OR(J54="",H54="",I54=""),"",J54/((I54-H54)*1440))</f>
        <v/>
      </c>
      <c r="O54" s="7" t="n"/>
      <c r="P54" s="7" t="n"/>
      <c r="Q54" s="7" t="n"/>
      <c r="R54" s="12" t="n"/>
      <c r="S54" s="13">
        <f>IF(OR(R54="",J54=""),"",R54/J54-1)</f>
        <v/>
      </c>
      <c r="T54" s="14">
        <f>IF(OR(L54="",R54="",J54=""),"",SQRT(4+(L54^2-4)*(R54/J54)^2))</f>
        <v/>
      </c>
      <c r="U54" s="7" t="n"/>
      <c r="V54" s="7" t="n"/>
    </row>
    <row r="55">
      <c r="A55" s="7" t="inlineStr">
        <is>
          <t>P-3/8-1-i3</t>
        </is>
      </c>
      <c r="B55" s="7" t="inlineStr">
        <is>
          <t>3/8</t>
        </is>
      </c>
      <c r="C55" s="7" t="inlineStr">
        <is>
          <t>P</t>
        </is>
      </c>
      <c r="D55" s="7" t="inlineStr">
        <is>
          <t>PVC-40</t>
        </is>
      </c>
      <c r="E55" s="7" t="n">
        <v>1</v>
      </c>
      <c r="F55" s="7" t="n">
        <v>3</v>
      </c>
      <c r="G55" s="8" t="n"/>
      <c r="H55" s="27" t="n"/>
      <c r="I55" s="27" t="n"/>
      <c r="J55" s="8" t="n"/>
      <c r="K55" s="8" t="n"/>
      <c r="L55" s="10" t="n"/>
      <c r="M55" s="8" t="n"/>
      <c r="N55" s="11">
        <f>IF(OR(J55="",H55="",I55=""),"",J55/((I55-H55)*1440))</f>
        <v/>
      </c>
      <c r="O55" s="7" t="n"/>
      <c r="P55" s="7" t="n"/>
      <c r="Q55" s="7" t="n"/>
      <c r="R55" s="12" t="n"/>
      <c r="S55" s="13">
        <f>IF(OR(R55="",J55=""),"",R55/J55-1)</f>
        <v/>
      </c>
      <c r="T55" s="14">
        <f>IF(OR(L55="",R55="",J55=""),"",SQRT(4+(L55^2-4)*(R55/J55)^2))</f>
        <v/>
      </c>
      <c r="U55" s="7" t="n"/>
      <c r="V55" s="7" t="n"/>
    </row>
    <row r="56">
      <c r="A56" s="7" t="inlineStr">
        <is>
          <t>P-3/8-3-i1</t>
        </is>
      </c>
      <c r="B56" s="7" t="inlineStr">
        <is>
          <t>3/8</t>
        </is>
      </c>
      <c r="C56" s="7" t="inlineStr">
        <is>
          <t>P</t>
        </is>
      </c>
      <c r="D56" s="7" t="inlineStr">
        <is>
          <t>PVC-40</t>
        </is>
      </c>
      <c r="E56" s="7" t="n">
        <v>3</v>
      </c>
      <c r="F56" s="7" t="n">
        <v>1</v>
      </c>
      <c r="G56" s="8" t="n"/>
      <c r="H56" s="27" t="n"/>
      <c r="I56" s="27" t="n"/>
      <c r="J56" s="8" t="n"/>
      <c r="K56" s="8" t="n"/>
      <c r="L56" s="10" t="n"/>
      <c r="M56" s="8" t="n"/>
      <c r="N56" s="11">
        <f>IF(OR(J56="",H56="",I56=""),"",J56/((I56-H56)*1440))</f>
        <v/>
      </c>
      <c r="O56" s="7" t="n"/>
      <c r="P56" s="7" t="n"/>
      <c r="Q56" s="7" t="n"/>
      <c r="R56" s="12" t="n"/>
      <c r="S56" s="13">
        <f>IF(OR(R56="",J56=""),"",R56/J56-1)</f>
        <v/>
      </c>
      <c r="T56" s="14">
        <f>IF(OR(L56="",R56="",J56=""),"",SQRT(4+(L56^2-4)*(R56/J56)^2))</f>
        <v/>
      </c>
      <c r="U56" s="7" t="n"/>
      <c r="V56" s="7" t="n"/>
    </row>
    <row r="57">
      <c r="A57" s="7" t="inlineStr">
        <is>
          <t>P-3/8-3-i2</t>
        </is>
      </c>
      <c r="B57" s="7" t="inlineStr">
        <is>
          <t>3/8</t>
        </is>
      </c>
      <c r="C57" s="7" t="inlineStr">
        <is>
          <t>P</t>
        </is>
      </c>
      <c r="D57" s="7" t="inlineStr">
        <is>
          <t>PVC-40</t>
        </is>
      </c>
      <c r="E57" s="7" t="n">
        <v>3</v>
      </c>
      <c r="F57" s="7" t="n">
        <v>2</v>
      </c>
      <c r="G57" s="8" t="n"/>
      <c r="H57" s="27" t="n"/>
      <c r="I57" s="27" t="n"/>
      <c r="J57" s="8" t="n"/>
      <c r="K57" s="8" t="n"/>
      <c r="L57" s="10" t="n"/>
      <c r="M57" s="8" t="n"/>
      <c r="N57" s="11">
        <f>IF(OR(J57="",H57="",I57=""),"",J57/((I57-H57)*1440))</f>
        <v/>
      </c>
      <c r="O57" s="7" t="n"/>
      <c r="P57" s="7" t="n"/>
      <c r="Q57" s="7" t="n"/>
      <c r="R57" s="12" t="n"/>
      <c r="S57" s="13">
        <f>IF(OR(R57="",J57=""),"",R57/J57-1)</f>
        <v/>
      </c>
      <c r="T57" s="14">
        <f>IF(OR(L57="",R57="",J57=""),"",SQRT(4+(L57^2-4)*(R57/J57)^2))</f>
        <v/>
      </c>
      <c r="U57" s="7" t="n"/>
      <c r="V57" s="7" t="n"/>
    </row>
    <row r="58">
      <c r="A58" s="7" t="inlineStr">
        <is>
          <t>P-3/8-3-i3</t>
        </is>
      </c>
      <c r="B58" s="7" t="inlineStr">
        <is>
          <t>3/8</t>
        </is>
      </c>
      <c r="C58" s="7" t="inlineStr">
        <is>
          <t>P</t>
        </is>
      </c>
      <c r="D58" s="7" t="inlineStr">
        <is>
          <t>PVC-40</t>
        </is>
      </c>
      <c r="E58" s="7" t="n">
        <v>3</v>
      </c>
      <c r="F58" s="7" t="n">
        <v>3</v>
      </c>
      <c r="G58" s="8" t="n"/>
      <c r="H58" s="27" t="n"/>
      <c r="I58" s="27" t="n"/>
      <c r="J58" s="8" t="n"/>
      <c r="K58" s="8" t="n"/>
      <c r="L58" s="10" t="n"/>
      <c r="M58" s="8" t="n"/>
      <c r="N58" s="11">
        <f>IF(OR(J58="",H58="",I58=""),"",J58/((I58-H58)*1440))</f>
        <v/>
      </c>
      <c r="O58" s="7" t="n"/>
      <c r="P58" s="7" t="n"/>
      <c r="Q58" s="7" t="n"/>
      <c r="R58" s="12" t="n"/>
      <c r="S58" s="13">
        <f>IF(OR(R58="",J58=""),"",R58/J58-1)</f>
        <v/>
      </c>
      <c r="T58" s="14">
        <f>IF(OR(L58="",R58="",J58=""),"",SQRT(4+(L58^2-4)*(R58/J58)^2))</f>
        <v/>
      </c>
      <c r="U58" s="7" t="n"/>
      <c r="V58" s="7" t="n"/>
    </row>
    <row r="59">
      <c r="A59" s="7" t="inlineStr">
        <is>
          <t>P-3/8-5-i1</t>
        </is>
      </c>
      <c r="B59" s="7" t="inlineStr">
        <is>
          <t>3/8</t>
        </is>
      </c>
      <c r="C59" s="7" t="inlineStr">
        <is>
          <t>P</t>
        </is>
      </c>
      <c r="D59" s="7" t="inlineStr">
        <is>
          <t>PVC-40</t>
        </is>
      </c>
      <c r="E59" s="7" t="n">
        <v>5</v>
      </c>
      <c r="F59" s="7" t="n">
        <v>1</v>
      </c>
      <c r="G59" s="8" t="n"/>
      <c r="H59" s="27" t="n"/>
      <c r="I59" s="27" t="n"/>
      <c r="J59" s="8" t="n"/>
      <c r="K59" s="8" t="n"/>
      <c r="L59" s="10" t="n"/>
      <c r="M59" s="8" t="n"/>
      <c r="N59" s="11">
        <f>IF(OR(J59="",H59="",I59=""),"",J59/((I59-H59)*1440))</f>
        <v/>
      </c>
      <c r="O59" s="7" t="n"/>
      <c r="P59" s="7" t="n"/>
      <c r="Q59" s="7" t="n"/>
      <c r="R59" s="12" t="n"/>
      <c r="S59" s="13">
        <f>IF(OR(R59="",J59=""),"",R59/J59-1)</f>
        <v/>
      </c>
      <c r="T59" s="14">
        <f>IF(OR(L59="",R59="",J59=""),"",SQRT(4+(L59^2-4)*(R59/J59)^2))</f>
        <v/>
      </c>
      <c r="U59" s="7" t="n"/>
      <c r="V59" s="7" t="n"/>
    </row>
    <row r="60">
      <c r="A60" s="7" t="inlineStr">
        <is>
          <t>P-3/8-5-i2</t>
        </is>
      </c>
      <c r="B60" s="7" t="inlineStr">
        <is>
          <t>3/8</t>
        </is>
      </c>
      <c r="C60" s="7" t="inlineStr">
        <is>
          <t>P</t>
        </is>
      </c>
      <c r="D60" s="7" t="inlineStr">
        <is>
          <t>PVC-40</t>
        </is>
      </c>
      <c r="E60" s="7" t="n">
        <v>5</v>
      </c>
      <c r="F60" s="7" t="n">
        <v>2</v>
      </c>
      <c r="G60" s="8" t="n"/>
      <c r="H60" s="27" t="n"/>
      <c r="I60" s="27" t="n"/>
      <c r="J60" s="8" t="n"/>
      <c r="K60" s="8" t="n"/>
      <c r="L60" s="10" t="n"/>
      <c r="M60" s="8" t="n"/>
      <c r="N60" s="11">
        <f>IF(OR(J60="",H60="",I60=""),"",J60/((I60-H60)*1440))</f>
        <v/>
      </c>
      <c r="O60" s="7" t="n"/>
      <c r="P60" s="7" t="n"/>
      <c r="Q60" s="7" t="n"/>
      <c r="R60" s="12" t="n"/>
      <c r="S60" s="13">
        <f>IF(OR(R60="",J60=""),"",R60/J60-1)</f>
        <v/>
      </c>
      <c r="T60" s="14">
        <f>IF(OR(L60="",R60="",J60=""),"",SQRT(4+(L60^2-4)*(R60/J60)^2))</f>
        <v/>
      </c>
      <c r="U60" s="7" t="n"/>
      <c r="V60" s="7" t="n"/>
    </row>
    <row r="61">
      <c r="A61" s="7" t="inlineStr">
        <is>
          <t>P-3/8-5-i3</t>
        </is>
      </c>
      <c r="B61" s="7" t="inlineStr">
        <is>
          <t>3/8</t>
        </is>
      </c>
      <c r="C61" s="7" t="inlineStr">
        <is>
          <t>P</t>
        </is>
      </c>
      <c r="D61" s="7" t="inlineStr">
        <is>
          <t>PVC-40</t>
        </is>
      </c>
      <c r="E61" s="7" t="n">
        <v>5</v>
      </c>
      <c r="F61" s="7" t="n">
        <v>3</v>
      </c>
      <c r="G61" s="8" t="n"/>
      <c r="H61" s="27" t="n"/>
      <c r="I61" s="27" t="n"/>
      <c r="J61" s="8" t="n"/>
      <c r="K61" s="8" t="n"/>
      <c r="L61" s="10" t="n"/>
      <c r="M61" s="8" t="n"/>
      <c r="N61" s="11">
        <f>IF(OR(J61="",H61="",I61=""),"",J61/((I61-H61)*1440))</f>
        <v/>
      </c>
      <c r="O61" s="7" t="n"/>
      <c r="P61" s="7" t="n"/>
      <c r="Q61" s="7" t="n"/>
      <c r="R61" s="12" t="n"/>
      <c r="S61" s="13">
        <f>IF(OR(R61="",J61=""),"",R61/J61-1)</f>
        <v/>
      </c>
      <c r="T61" s="14">
        <f>IF(OR(L61="",R61="",J61=""),"",SQRT(4+(L61^2-4)*(R61/J61)^2))</f>
        <v/>
      </c>
      <c r="U61" s="7" t="n"/>
      <c r="V61" s="7" t="n"/>
    </row>
    <row r="62">
      <c r="A62" s="7" t="inlineStr">
        <is>
          <t>P-3/8-10-i1</t>
        </is>
      </c>
      <c r="B62" s="7" t="inlineStr">
        <is>
          <t>3/8</t>
        </is>
      </c>
      <c r="C62" s="7" t="inlineStr">
        <is>
          <t>P</t>
        </is>
      </c>
      <c r="D62" s="7" t="inlineStr">
        <is>
          <t>PVC-40</t>
        </is>
      </c>
      <c r="E62" s="7" t="n">
        <v>10</v>
      </c>
      <c r="F62" s="7" t="n">
        <v>1</v>
      </c>
      <c r="G62" s="8" t="n"/>
      <c r="H62" s="27" t="n"/>
      <c r="I62" s="27" t="n"/>
      <c r="J62" s="8" t="n"/>
      <c r="K62" s="8" t="n"/>
      <c r="L62" s="10" t="n"/>
      <c r="M62" s="8" t="n"/>
      <c r="N62" s="11">
        <f>IF(OR(J62="",H62="",I62=""),"",J62/((I62-H62)*1440))</f>
        <v/>
      </c>
      <c r="O62" s="7" t="n"/>
      <c r="P62" s="7" t="n"/>
      <c r="Q62" s="7" t="n"/>
      <c r="R62" s="12" t="n"/>
      <c r="S62" s="13">
        <f>IF(OR(R62="",J62=""),"",R62/J62-1)</f>
        <v/>
      </c>
      <c r="T62" s="14">
        <f>IF(OR(L62="",R62="",J62=""),"",SQRT(4+(L62^2-4)*(R62/J62)^2))</f>
        <v/>
      </c>
      <c r="U62" s="7" t="n"/>
      <c r="V62" s="7" t="n"/>
    </row>
    <row r="63">
      <c r="A63" s="7" t="inlineStr">
        <is>
          <t>P-3/8-10-i2</t>
        </is>
      </c>
      <c r="B63" s="7" t="inlineStr">
        <is>
          <t>3/8</t>
        </is>
      </c>
      <c r="C63" s="7" t="inlineStr">
        <is>
          <t>P</t>
        </is>
      </c>
      <c r="D63" s="7" t="inlineStr">
        <is>
          <t>PVC-40</t>
        </is>
      </c>
      <c r="E63" s="7" t="n">
        <v>10</v>
      </c>
      <c r="F63" s="7" t="n">
        <v>2</v>
      </c>
      <c r="G63" s="8" t="n"/>
      <c r="H63" s="27" t="n"/>
      <c r="I63" s="27" t="n"/>
      <c r="J63" s="8" t="n"/>
      <c r="K63" s="8" t="n"/>
      <c r="L63" s="10" t="n"/>
      <c r="M63" s="8" t="n"/>
      <c r="N63" s="11">
        <f>IF(OR(J63="",H63="",I63=""),"",J63/((I63-H63)*1440))</f>
        <v/>
      </c>
      <c r="O63" s="7" t="n"/>
      <c r="P63" s="7" t="n"/>
      <c r="Q63" s="7" t="n"/>
      <c r="R63" s="12" t="n"/>
      <c r="S63" s="13">
        <f>IF(OR(R63="",J63=""),"",R63/J63-1)</f>
        <v/>
      </c>
      <c r="T63" s="14">
        <f>IF(OR(L63="",R63="",J63=""),"",SQRT(4+(L63^2-4)*(R63/J63)^2))</f>
        <v/>
      </c>
      <c r="U63" s="7" t="n"/>
      <c r="V63" s="7" t="n"/>
    </row>
    <row r="64">
      <c r="A64" s="7" t="inlineStr">
        <is>
          <t>P-3/8-10-i3</t>
        </is>
      </c>
      <c r="B64" s="7" t="inlineStr">
        <is>
          <t>3/8</t>
        </is>
      </c>
      <c r="C64" s="7" t="inlineStr">
        <is>
          <t>P</t>
        </is>
      </c>
      <c r="D64" s="7" t="inlineStr">
        <is>
          <t>PVC-40</t>
        </is>
      </c>
      <c r="E64" s="7" t="n">
        <v>10</v>
      </c>
      <c r="F64" s="7" t="n">
        <v>3</v>
      </c>
      <c r="G64" s="8" t="n"/>
      <c r="H64" s="27" t="n"/>
      <c r="I64" s="27" t="n"/>
      <c r="J64" s="8" t="n"/>
      <c r="K64" s="8" t="n"/>
      <c r="L64" s="10" t="n"/>
      <c r="M64" s="8" t="n"/>
      <c r="N64" s="11">
        <f>IF(OR(J64="",H64="",I64=""),"",J64/((I64-H64)*1440))</f>
        <v/>
      </c>
      <c r="O64" s="7" t="n"/>
      <c r="P64" s="7" t="n"/>
      <c r="Q64" s="7" t="n"/>
      <c r="R64" s="12" t="n"/>
      <c r="S64" s="13">
        <f>IF(OR(R64="",J64=""),"",R64/J64-1)</f>
        <v/>
      </c>
      <c r="T64" s="14">
        <f>IF(OR(L64="",R64="",J64=""),"",SQRT(4+(L64^2-4)*(R64/J64)^2))</f>
        <v/>
      </c>
      <c r="U64" s="7" t="n"/>
      <c r="V64" s="7" t="n"/>
    </row>
    <row r="65">
      <c r="A65" s="7" t="inlineStr">
        <is>
          <t>X-3/8-0.5-i1</t>
        </is>
      </c>
      <c r="B65" s="7" t="inlineStr">
        <is>
          <t>3/8</t>
        </is>
      </c>
      <c r="C65" s="7" t="inlineStr">
        <is>
          <t>X</t>
        </is>
      </c>
      <c r="D65" s="7" t="inlineStr">
        <is>
          <t>PEX-A</t>
        </is>
      </c>
      <c r="E65" s="7" t="n">
        <v>0.5</v>
      </c>
      <c r="F65" s="7" t="n">
        <v>1</v>
      </c>
      <c r="G65" s="8" t="n"/>
      <c r="H65" s="27" t="n"/>
      <c r="I65" s="27" t="n"/>
      <c r="J65" s="8" t="n"/>
      <c r="K65" s="8" t="n"/>
      <c r="L65" s="10" t="n"/>
      <c r="M65" s="8" t="n"/>
      <c r="N65" s="11">
        <f>IF(OR(J65="",H65="",I65=""),"",J65/((I65-H65)*1440))</f>
        <v/>
      </c>
      <c r="O65" s="7" t="n"/>
      <c r="P65" s="7" t="n"/>
      <c r="Q65" s="7" t="n"/>
      <c r="R65" s="12" t="n"/>
      <c r="S65" s="13">
        <f>IF(OR(R65="",J65=""),"",R65/J65-1)</f>
        <v/>
      </c>
      <c r="T65" s="14">
        <f>IF(OR(L65="",R65="",J65=""),"",SQRT(4+(L65^2-4)*(R65/J65)^2))</f>
        <v/>
      </c>
      <c r="U65" s="7" t="n"/>
      <c r="V65" s="7" t="n"/>
    </row>
    <row r="66">
      <c r="A66" s="7" t="inlineStr">
        <is>
          <t>X-3/8-0.5-i2</t>
        </is>
      </c>
      <c r="B66" s="7" t="inlineStr">
        <is>
          <t>3/8</t>
        </is>
      </c>
      <c r="C66" s="7" t="inlineStr">
        <is>
          <t>X</t>
        </is>
      </c>
      <c r="D66" s="7" t="inlineStr">
        <is>
          <t>PEX-A</t>
        </is>
      </c>
      <c r="E66" s="7" t="n">
        <v>0.5</v>
      </c>
      <c r="F66" s="7" t="n">
        <v>2</v>
      </c>
      <c r="G66" s="8" t="n"/>
      <c r="H66" s="27" t="n"/>
      <c r="I66" s="27" t="n"/>
      <c r="J66" s="8" t="n"/>
      <c r="K66" s="8" t="n"/>
      <c r="L66" s="10" t="n"/>
      <c r="M66" s="8" t="n"/>
      <c r="N66" s="11">
        <f>IF(OR(J66="",H66="",I66=""),"",J66/((I66-H66)*1440))</f>
        <v/>
      </c>
      <c r="O66" s="7" t="n"/>
      <c r="P66" s="7" t="n"/>
      <c r="Q66" s="7" t="n"/>
      <c r="R66" s="12" t="n"/>
      <c r="S66" s="13">
        <f>IF(OR(R66="",J66=""),"",R66/J66-1)</f>
        <v/>
      </c>
      <c r="T66" s="14">
        <f>IF(OR(L66="",R66="",J66=""),"",SQRT(4+(L66^2-4)*(R66/J66)^2))</f>
        <v/>
      </c>
      <c r="U66" s="7" t="n"/>
      <c r="V66" s="7" t="n"/>
    </row>
    <row r="67">
      <c r="A67" s="7" t="inlineStr">
        <is>
          <t>X-3/8-0.5-i3</t>
        </is>
      </c>
      <c r="B67" s="7" t="inlineStr">
        <is>
          <t>3/8</t>
        </is>
      </c>
      <c r="C67" s="7" t="inlineStr">
        <is>
          <t>X</t>
        </is>
      </c>
      <c r="D67" s="7" t="inlineStr">
        <is>
          <t>PEX-A</t>
        </is>
      </c>
      <c r="E67" s="7" t="n">
        <v>0.5</v>
      </c>
      <c r="F67" s="7" t="n">
        <v>3</v>
      </c>
      <c r="G67" s="8" t="n"/>
      <c r="H67" s="27" t="n"/>
      <c r="I67" s="27" t="n"/>
      <c r="J67" s="8" t="n"/>
      <c r="K67" s="8" t="n"/>
      <c r="L67" s="10" t="n"/>
      <c r="M67" s="8" t="n"/>
      <c r="N67" s="11">
        <f>IF(OR(J67="",H67="",I67=""),"",J67/((I67-H67)*1440))</f>
        <v/>
      </c>
      <c r="O67" s="7" t="n"/>
      <c r="P67" s="7" t="n"/>
      <c r="Q67" s="7" t="n"/>
      <c r="R67" s="12" t="n"/>
      <c r="S67" s="13">
        <f>IF(OR(R67="",J67=""),"",R67/J67-1)</f>
        <v/>
      </c>
      <c r="T67" s="14">
        <f>IF(OR(L67="",R67="",J67=""),"",SQRT(4+(L67^2-4)*(R67/J67)^2))</f>
        <v/>
      </c>
      <c r="U67" s="7" t="n"/>
      <c r="V67" s="7" t="n"/>
    </row>
    <row r="68">
      <c r="A68" s="7" t="inlineStr">
        <is>
          <t>X-3/8-1-i1</t>
        </is>
      </c>
      <c r="B68" s="7" t="inlineStr">
        <is>
          <t>3/8</t>
        </is>
      </c>
      <c r="C68" s="7" t="inlineStr">
        <is>
          <t>X</t>
        </is>
      </c>
      <c r="D68" s="7" t="inlineStr">
        <is>
          <t>PEX-A</t>
        </is>
      </c>
      <c r="E68" s="7" t="n">
        <v>1</v>
      </c>
      <c r="F68" s="7" t="n">
        <v>1</v>
      </c>
      <c r="G68" s="8" t="n"/>
      <c r="H68" s="27" t="n"/>
      <c r="I68" s="27" t="n"/>
      <c r="J68" s="8" t="n"/>
      <c r="K68" s="8" t="n"/>
      <c r="L68" s="10" t="n"/>
      <c r="M68" s="8" t="n"/>
      <c r="N68" s="11">
        <f>IF(OR(J68="",H68="",I68=""),"",J68/((I68-H68)*1440))</f>
        <v/>
      </c>
      <c r="O68" s="7" t="n"/>
      <c r="P68" s="7" t="n"/>
      <c r="Q68" s="7" t="n"/>
      <c r="R68" s="12" t="n"/>
      <c r="S68" s="13">
        <f>IF(OR(R68="",J68=""),"",R68/J68-1)</f>
        <v/>
      </c>
      <c r="T68" s="14">
        <f>IF(OR(L68="",R68="",J68=""),"",SQRT(4+(L68^2-4)*(R68/J68)^2))</f>
        <v/>
      </c>
      <c r="U68" s="7" t="n"/>
      <c r="V68" s="7" t="n"/>
    </row>
    <row r="69">
      <c r="A69" s="7" t="inlineStr">
        <is>
          <t>X-3/8-1-i2</t>
        </is>
      </c>
      <c r="B69" s="7" t="inlineStr">
        <is>
          <t>3/8</t>
        </is>
      </c>
      <c r="C69" s="7" t="inlineStr">
        <is>
          <t>X</t>
        </is>
      </c>
      <c r="D69" s="7" t="inlineStr">
        <is>
          <t>PEX-A</t>
        </is>
      </c>
      <c r="E69" s="7" t="n">
        <v>1</v>
      </c>
      <c r="F69" s="7" t="n">
        <v>2</v>
      </c>
      <c r="G69" s="8" t="n"/>
      <c r="H69" s="27" t="n"/>
      <c r="I69" s="27" t="n"/>
      <c r="J69" s="8" t="n"/>
      <c r="K69" s="8" t="n"/>
      <c r="L69" s="10" t="n"/>
      <c r="M69" s="8" t="n"/>
      <c r="N69" s="11">
        <f>IF(OR(J69="",H69="",I69=""),"",J69/((I69-H69)*1440))</f>
        <v/>
      </c>
      <c r="O69" s="7" t="n"/>
      <c r="P69" s="7" t="n"/>
      <c r="Q69" s="7" t="n"/>
      <c r="R69" s="12" t="n"/>
      <c r="S69" s="13">
        <f>IF(OR(R69="",J69=""),"",R69/J69-1)</f>
        <v/>
      </c>
      <c r="T69" s="14">
        <f>IF(OR(L69="",R69="",J69=""),"",SQRT(4+(L69^2-4)*(R69/J69)^2))</f>
        <v/>
      </c>
      <c r="U69" s="7" t="n"/>
      <c r="V69" s="7" t="n"/>
    </row>
    <row r="70">
      <c r="A70" s="7" t="inlineStr">
        <is>
          <t>X-3/8-1-i3</t>
        </is>
      </c>
      <c r="B70" s="7" t="inlineStr">
        <is>
          <t>3/8</t>
        </is>
      </c>
      <c r="C70" s="7" t="inlineStr">
        <is>
          <t>X</t>
        </is>
      </c>
      <c r="D70" s="7" t="inlineStr">
        <is>
          <t>PEX-A</t>
        </is>
      </c>
      <c r="E70" s="7" t="n">
        <v>1</v>
      </c>
      <c r="F70" s="7" t="n">
        <v>3</v>
      </c>
      <c r="G70" s="8" t="n"/>
      <c r="H70" s="27" t="n"/>
      <c r="I70" s="27" t="n"/>
      <c r="J70" s="8" t="n"/>
      <c r="K70" s="8" t="n"/>
      <c r="L70" s="10" t="n"/>
      <c r="M70" s="8" t="n"/>
      <c r="N70" s="11">
        <f>IF(OR(J70="",H70="",I70=""),"",J70/((I70-H70)*1440))</f>
        <v/>
      </c>
      <c r="O70" s="7" t="n"/>
      <c r="P70" s="7" t="n"/>
      <c r="Q70" s="7" t="n"/>
      <c r="R70" s="12" t="n"/>
      <c r="S70" s="13">
        <f>IF(OR(R70="",J70=""),"",R70/J70-1)</f>
        <v/>
      </c>
      <c r="T70" s="14">
        <f>IF(OR(L70="",R70="",J70=""),"",SQRT(4+(L70^2-4)*(R70/J70)^2))</f>
        <v/>
      </c>
      <c r="U70" s="7" t="n"/>
      <c r="V70" s="7" t="n"/>
    </row>
    <row r="71">
      <c r="A71" s="7" t="inlineStr">
        <is>
          <t>X-3/8-3-i1</t>
        </is>
      </c>
      <c r="B71" s="7" t="inlineStr">
        <is>
          <t>3/8</t>
        </is>
      </c>
      <c r="C71" s="7" t="inlineStr">
        <is>
          <t>X</t>
        </is>
      </c>
      <c r="D71" s="7" t="inlineStr">
        <is>
          <t>PEX-A</t>
        </is>
      </c>
      <c r="E71" s="7" t="n">
        <v>3</v>
      </c>
      <c r="F71" s="7" t="n">
        <v>1</v>
      </c>
      <c r="G71" s="8" t="n"/>
      <c r="H71" s="27" t="n"/>
      <c r="I71" s="27" t="n"/>
      <c r="J71" s="8" t="n"/>
      <c r="K71" s="8" t="n"/>
      <c r="L71" s="10" t="n"/>
      <c r="M71" s="8" t="n"/>
      <c r="N71" s="11">
        <f>IF(OR(J71="",H71="",I71=""),"",J71/((I71-H71)*1440))</f>
        <v/>
      </c>
      <c r="O71" s="7" t="n"/>
      <c r="P71" s="7" t="n"/>
      <c r="Q71" s="7" t="n"/>
      <c r="R71" s="12" t="n"/>
      <c r="S71" s="13">
        <f>IF(OR(R71="",J71=""),"",R71/J71-1)</f>
        <v/>
      </c>
      <c r="T71" s="14">
        <f>IF(OR(L71="",R71="",J71=""),"",SQRT(4+(L71^2-4)*(R71/J71)^2))</f>
        <v/>
      </c>
      <c r="U71" s="7" t="n"/>
      <c r="V71" s="7" t="n"/>
    </row>
    <row r="72">
      <c r="A72" s="7" t="inlineStr">
        <is>
          <t>X-3/8-3-i2</t>
        </is>
      </c>
      <c r="B72" s="7" t="inlineStr">
        <is>
          <t>3/8</t>
        </is>
      </c>
      <c r="C72" s="7" t="inlineStr">
        <is>
          <t>X</t>
        </is>
      </c>
      <c r="D72" s="7" t="inlineStr">
        <is>
          <t>PEX-A</t>
        </is>
      </c>
      <c r="E72" s="7" t="n">
        <v>3</v>
      </c>
      <c r="F72" s="7" t="n">
        <v>2</v>
      </c>
      <c r="G72" s="8" t="n"/>
      <c r="H72" s="27" t="n"/>
      <c r="I72" s="27" t="n"/>
      <c r="J72" s="8" t="n"/>
      <c r="K72" s="8" t="n"/>
      <c r="L72" s="10" t="n"/>
      <c r="M72" s="8" t="n"/>
      <c r="N72" s="11">
        <f>IF(OR(J72="",H72="",I72=""),"",J72/((I72-H72)*1440))</f>
        <v/>
      </c>
      <c r="O72" s="7" t="n"/>
      <c r="P72" s="7" t="n"/>
      <c r="Q72" s="7" t="n"/>
      <c r="R72" s="12" t="n"/>
      <c r="S72" s="13">
        <f>IF(OR(R72="",J72=""),"",R72/J72-1)</f>
        <v/>
      </c>
      <c r="T72" s="14">
        <f>IF(OR(L72="",R72="",J72=""),"",SQRT(4+(L72^2-4)*(R72/J72)^2))</f>
        <v/>
      </c>
      <c r="U72" s="7" t="n"/>
      <c r="V72" s="7" t="n"/>
    </row>
    <row r="73">
      <c r="A73" s="7" t="inlineStr">
        <is>
          <t>X-3/8-3-i3</t>
        </is>
      </c>
      <c r="B73" s="7" t="inlineStr">
        <is>
          <t>3/8</t>
        </is>
      </c>
      <c r="C73" s="7" t="inlineStr">
        <is>
          <t>X</t>
        </is>
      </c>
      <c r="D73" s="7" t="inlineStr">
        <is>
          <t>PEX-A</t>
        </is>
      </c>
      <c r="E73" s="7" t="n">
        <v>3</v>
      </c>
      <c r="F73" s="7" t="n">
        <v>3</v>
      </c>
      <c r="G73" s="8" t="n"/>
      <c r="H73" s="27" t="n"/>
      <c r="I73" s="27" t="n"/>
      <c r="J73" s="8" t="n"/>
      <c r="K73" s="8" t="n"/>
      <c r="L73" s="10" t="n"/>
      <c r="M73" s="8" t="n"/>
      <c r="N73" s="11">
        <f>IF(OR(J73="",H73="",I73=""),"",J73/((I73-H73)*1440))</f>
        <v/>
      </c>
      <c r="O73" s="7" t="n"/>
      <c r="P73" s="7" t="n"/>
      <c r="Q73" s="7" t="n"/>
      <c r="R73" s="12" t="n"/>
      <c r="S73" s="13">
        <f>IF(OR(R73="",J73=""),"",R73/J73-1)</f>
        <v/>
      </c>
      <c r="T73" s="14">
        <f>IF(OR(L73="",R73="",J73=""),"",SQRT(4+(L73^2-4)*(R73/J73)^2))</f>
        <v/>
      </c>
      <c r="U73" s="7" t="n"/>
      <c r="V73" s="7" t="n"/>
    </row>
    <row r="74">
      <c r="A74" s="7" t="inlineStr">
        <is>
          <t>X-3/8-5-i1</t>
        </is>
      </c>
      <c r="B74" s="7" t="inlineStr">
        <is>
          <t>3/8</t>
        </is>
      </c>
      <c r="C74" s="7" t="inlineStr">
        <is>
          <t>X</t>
        </is>
      </c>
      <c r="D74" s="7" t="inlineStr">
        <is>
          <t>PEX-A</t>
        </is>
      </c>
      <c r="E74" s="7" t="n">
        <v>5</v>
      </c>
      <c r="F74" s="7" t="n">
        <v>1</v>
      </c>
      <c r="G74" s="8" t="n"/>
      <c r="H74" s="27" t="n"/>
      <c r="I74" s="27" t="n"/>
      <c r="J74" s="8" t="n"/>
      <c r="K74" s="8" t="n"/>
      <c r="L74" s="10" t="n"/>
      <c r="M74" s="8" t="n"/>
      <c r="N74" s="11">
        <f>IF(OR(J74="",H74="",I74=""),"",J74/((I74-H74)*1440))</f>
        <v/>
      </c>
      <c r="O74" s="7" t="n"/>
      <c r="P74" s="7" t="n"/>
      <c r="Q74" s="7" t="n"/>
      <c r="R74" s="12" t="n"/>
      <c r="S74" s="13">
        <f>IF(OR(R74="",J74=""),"",R74/J74-1)</f>
        <v/>
      </c>
      <c r="T74" s="14">
        <f>IF(OR(L74="",R74="",J74=""),"",SQRT(4+(L74^2-4)*(R74/J74)^2))</f>
        <v/>
      </c>
      <c r="U74" s="7" t="n"/>
      <c r="V74" s="7" t="n"/>
    </row>
    <row r="75">
      <c r="A75" s="7" t="inlineStr">
        <is>
          <t>X-3/8-5-i2</t>
        </is>
      </c>
      <c r="B75" s="7" t="inlineStr">
        <is>
          <t>3/8</t>
        </is>
      </c>
      <c r="C75" s="7" t="inlineStr">
        <is>
          <t>X</t>
        </is>
      </c>
      <c r="D75" s="7" t="inlineStr">
        <is>
          <t>PEX-A</t>
        </is>
      </c>
      <c r="E75" s="7" t="n">
        <v>5</v>
      </c>
      <c r="F75" s="7" t="n">
        <v>2</v>
      </c>
      <c r="G75" s="8" t="n"/>
      <c r="H75" s="27" t="n"/>
      <c r="I75" s="27" t="n"/>
      <c r="J75" s="8" t="n"/>
      <c r="K75" s="8" t="n"/>
      <c r="L75" s="10" t="n"/>
      <c r="M75" s="8" t="n"/>
      <c r="N75" s="11">
        <f>IF(OR(J75="",H75="",I75=""),"",J75/((I75-H75)*1440))</f>
        <v/>
      </c>
      <c r="O75" s="7" t="n"/>
      <c r="P75" s="7" t="n"/>
      <c r="Q75" s="7" t="n"/>
      <c r="R75" s="12" t="n"/>
      <c r="S75" s="13">
        <f>IF(OR(R75="",J75=""),"",R75/J75-1)</f>
        <v/>
      </c>
      <c r="T75" s="14">
        <f>IF(OR(L75="",R75="",J75=""),"",SQRT(4+(L75^2-4)*(R75/J75)^2))</f>
        <v/>
      </c>
      <c r="U75" s="7" t="n"/>
      <c r="V75" s="7" t="n"/>
    </row>
    <row r="76">
      <c r="A76" s="7" t="inlineStr">
        <is>
          <t>X-3/8-5-i3</t>
        </is>
      </c>
      <c r="B76" s="7" t="inlineStr">
        <is>
          <t>3/8</t>
        </is>
      </c>
      <c r="C76" s="7" t="inlineStr">
        <is>
          <t>X</t>
        </is>
      </c>
      <c r="D76" s="7" t="inlineStr">
        <is>
          <t>PEX-A</t>
        </is>
      </c>
      <c r="E76" s="7" t="n">
        <v>5</v>
      </c>
      <c r="F76" s="7" t="n">
        <v>3</v>
      </c>
      <c r="G76" s="8" t="n"/>
      <c r="H76" s="27" t="n"/>
      <c r="I76" s="27" t="n"/>
      <c r="J76" s="8" t="n"/>
      <c r="K76" s="8" t="n"/>
      <c r="L76" s="10" t="n"/>
      <c r="M76" s="8" t="n"/>
      <c r="N76" s="11">
        <f>IF(OR(J76="",H76="",I76=""),"",J76/((I76-H76)*1440))</f>
        <v/>
      </c>
      <c r="O76" s="7" t="n"/>
      <c r="P76" s="7" t="n"/>
      <c r="Q76" s="7" t="n"/>
      <c r="R76" s="12" t="n"/>
      <c r="S76" s="13">
        <f>IF(OR(R76="",J76=""),"",R76/J76-1)</f>
        <v/>
      </c>
      <c r="T76" s="14">
        <f>IF(OR(L76="",R76="",J76=""),"",SQRT(4+(L76^2-4)*(R76/J76)^2))</f>
        <v/>
      </c>
      <c r="U76" s="7" t="n"/>
      <c r="V76" s="7" t="n"/>
    </row>
    <row r="77">
      <c r="A77" s="7" t="inlineStr">
        <is>
          <t>X-3/8-10-i1</t>
        </is>
      </c>
      <c r="B77" s="7" t="inlineStr">
        <is>
          <t>3/8</t>
        </is>
      </c>
      <c r="C77" s="7" t="inlineStr">
        <is>
          <t>X</t>
        </is>
      </c>
      <c r="D77" s="7" t="inlineStr">
        <is>
          <t>PEX-A</t>
        </is>
      </c>
      <c r="E77" s="7" t="n">
        <v>10</v>
      </c>
      <c r="F77" s="7" t="n">
        <v>1</v>
      </c>
      <c r="G77" s="8" t="n"/>
      <c r="H77" s="27" t="n"/>
      <c r="I77" s="27" t="n"/>
      <c r="J77" s="8" t="n"/>
      <c r="K77" s="8" t="n"/>
      <c r="L77" s="10" t="n"/>
      <c r="M77" s="8" t="n"/>
      <c r="N77" s="11">
        <f>IF(OR(J77="",H77="",I77=""),"",J77/((I77-H77)*1440))</f>
        <v/>
      </c>
      <c r="O77" s="7" t="n"/>
      <c r="P77" s="7" t="n"/>
      <c r="Q77" s="7" t="n"/>
      <c r="R77" s="12" t="n"/>
      <c r="S77" s="13">
        <f>IF(OR(R77="",J77=""),"",R77/J77-1)</f>
        <v/>
      </c>
      <c r="T77" s="14">
        <f>IF(OR(L77="",R77="",J77=""),"",SQRT(4+(L77^2-4)*(R77/J77)^2))</f>
        <v/>
      </c>
      <c r="U77" s="7" t="n"/>
      <c r="V77" s="7" t="n"/>
    </row>
    <row r="78">
      <c r="A78" s="7" t="inlineStr">
        <is>
          <t>X-3/8-10-i2</t>
        </is>
      </c>
      <c r="B78" s="7" t="inlineStr">
        <is>
          <t>3/8</t>
        </is>
      </c>
      <c r="C78" s="7" t="inlineStr">
        <is>
          <t>X</t>
        </is>
      </c>
      <c r="D78" s="7" t="inlineStr">
        <is>
          <t>PEX-A</t>
        </is>
      </c>
      <c r="E78" s="7" t="n">
        <v>10</v>
      </c>
      <c r="F78" s="7" t="n">
        <v>2</v>
      </c>
      <c r="G78" s="8" t="n"/>
      <c r="H78" s="27" t="n"/>
      <c r="I78" s="27" t="n"/>
      <c r="J78" s="8" t="n"/>
      <c r="K78" s="8" t="n"/>
      <c r="L78" s="10" t="n"/>
      <c r="M78" s="8" t="n"/>
      <c r="N78" s="11">
        <f>IF(OR(J78="",H78="",I78=""),"",J78/((I78-H78)*1440))</f>
        <v/>
      </c>
      <c r="O78" s="7" t="n"/>
      <c r="P78" s="7" t="n"/>
      <c r="Q78" s="7" t="n"/>
      <c r="R78" s="12" t="n"/>
      <c r="S78" s="13">
        <f>IF(OR(R78="",J78=""),"",R78/J78-1)</f>
        <v/>
      </c>
      <c r="T78" s="14">
        <f>IF(OR(L78="",R78="",J78=""),"",SQRT(4+(L78^2-4)*(R78/J78)^2))</f>
        <v/>
      </c>
      <c r="U78" s="7" t="n"/>
      <c r="V78" s="7" t="n"/>
    </row>
    <row r="79">
      <c r="A79" s="7" t="inlineStr">
        <is>
          <t>X-3/8-10-i3</t>
        </is>
      </c>
      <c r="B79" s="7" t="inlineStr">
        <is>
          <t>3/8</t>
        </is>
      </c>
      <c r="C79" s="7" t="inlineStr">
        <is>
          <t>X</t>
        </is>
      </c>
      <c r="D79" s="7" t="inlineStr">
        <is>
          <t>PEX-A</t>
        </is>
      </c>
      <c r="E79" s="7" t="n">
        <v>10</v>
      </c>
      <c r="F79" s="7" t="n">
        <v>3</v>
      </c>
      <c r="G79" s="8" t="n"/>
      <c r="H79" s="27" t="n"/>
      <c r="I79" s="27" t="n"/>
      <c r="J79" s="8" t="n"/>
      <c r="K79" s="8" t="n"/>
      <c r="L79" s="10" t="n"/>
      <c r="M79" s="8" t="n"/>
      <c r="N79" s="11">
        <f>IF(OR(J79="",H79="",I79=""),"",J79/((I79-H79)*1440))</f>
        <v/>
      </c>
      <c r="O79" s="7" t="n"/>
      <c r="P79" s="7" t="n"/>
      <c r="Q79" s="7" t="n"/>
      <c r="R79" s="12" t="n"/>
      <c r="S79" s="13">
        <f>IF(OR(R79="",J79=""),"",R79/J79-1)</f>
        <v/>
      </c>
      <c r="T79" s="14">
        <f>IF(OR(L79="",R79="",J79=""),"",SQRT(4+(L79^2-4)*(R79/J79)^2))</f>
        <v/>
      </c>
      <c r="U79" s="7" t="n"/>
      <c r="V79" s="7" t="n"/>
    </row>
    <row r="80">
      <c r="A80" s="7" t="inlineStr">
        <is>
          <t>p-3/8-0.5-i1</t>
        </is>
      </c>
      <c r="B80" s="7" t="inlineStr">
        <is>
          <t>3/8</t>
        </is>
      </c>
      <c r="C80" s="7" t="inlineStr">
        <is>
          <t>p</t>
        </is>
      </c>
      <c r="D80" s="7" t="inlineStr">
        <is>
          <t>PVC-80</t>
        </is>
      </c>
      <c r="E80" s="7" t="n">
        <v>0.5</v>
      </c>
      <c r="F80" s="7" t="n">
        <v>1</v>
      </c>
      <c r="G80" s="8" t="n"/>
      <c r="H80" s="27" t="n"/>
      <c r="I80" s="27" t="n"/>
      <c r="J80" s="8" t="n"/>
      <c r="K80" s="8" t="n"/>
      <c r="L80" s="10" t="n"/>
      <c r="M80" s="8" t="n"/>
      <c r="N80" s="11">
        <f>IF(OR(J80="",H80="",I80=""),"",J80/((I80-H80)*1440))</f>
        <v/>
      </c>
      <c r="O80" s="7" t="n"/>
      <c r="P80" s="7" t="n"/>
      <c r="Q80" s="7" t="n"/>
      <c r="R80" s="12" t="n"/>
      <c r="S80" s="13">
        <f>IF(OR(R80="",J80=""),"",R80/J80-1)</f>
        <v/>
      </c>
      <c r="T80" s="14">
        <f>IF(OR(L80="",R80="",J80=""),"",SQRT(4+(L80^2-4)*(R80/J80)^2))</f>
        <v/>
      </c>
      <c r="U80" s="7" t="n"/>
      <c r="V80" s="7" t="n"/>
    </row>
    <row r="81">
      <c r="A81" s="7" t="inlineStr">
        <is>
          <t>p-3/8-0.5-i2</t>
        </is>
      </c>
      <c r="B81" s="7" t="inlineStr">
        <is>
          <t>3/8</t>
        </is>
      </c>
      <c r="C81" s="7" t="inlineStr">
        <is>
          <t>p</t>
        </is>
      </c>
      <c r="D81" s="7" t="inlineStr">
        <is>
          <t>PVC-80</t>
        </is>
      </c>
      <c r="E81" s="7" t="n">
        <v>0.5</v>
      </c>
      <c r="F81" s="7" t="n">
        <v>2</v>
      </c>
      <c r="G81" s="8" t="n"/>
      <c r="H81" s="27" t="n"/>
      <c r="I81" s="27" t="n"/>
      <c r="J81" s="8" t="n"/>
      <c r="K81" s="8" t="n"/>
      <c r="L81" s="10" t="n"/>
      <c r="M81" s="8" t="n"/>
      <c r="N81" s="11">
        <f>IF(OR(J81="",H81="",I81=""),"",J81/((I81-H81)*1440))</f>
        <v/>
      </c>
      <c r="O81" s="7" t="n"/>
      <c r="P81" s="7" t="n"/>
      <c r="Q81" s="7" t="n"/>
      <c r="R81" s="12" t="n"/>
      <c r="S81" s="13">
        <f>IF(OR(R81="",J81=""),"",R81/J81-1)</f>
        <v/>
      </c>
      <c r="T81" s="14">
        <f>IF(OR(L81="",R81="",J81=""),"",SQRT(4+(L81^2-4)*(R81/J81)^2))</f>
        <v/>
      </c>
      <c r="U81" s="7" t="n"/>
      <c r="V81" s="7" t="n"/>
    </row>
    <row r="82">
      <c r="A82" s="7" t="inlineStr">
        <is>
          <t>p-3/8-0.5-i3</t>
        </is>
      </c>
      <c r="B82" s="7" t="inlineStr">
        <is>
          <t>3/8</t>
        </is>
      </c>
      <c r="C82" s="7" t="inlineStr">
        <is>
          <t>p</t>
        </is>
      </c>
      <c r="D82" s="7" t="inlineStr">
        <is>
          <t>PVC-80</t>
        </is>
      </c>
      <c r="E82" s="7" t="n">
        <v>0.5</v>
      </c>
      <c r="F82" s="7" t="n">
        <v>3</v>
      </c>
      <c r="G82" s="8" t="n"/>
      <c r="H82" s="27" t="n"/>
      <c r="I82" s="27" t="n"/>
      <c r="J82" s="8" t="n"/>
      <c r="K82" s="8" t="n"/>
      <c r="L82" s="10" t="n"/>
      <c r="M82" s="8" t="n"/>
      <c r="N82" s="11">
        <f>IF(OR(J82="",H82="",I82=""),"",J82/((I82-H82)*1440))</f>
        <v/>
      </c>
      <c r="O82" s="7" t="n"/>
      <c r="P82" s="7" t="n"/>
      <c r="Q82" s="7" t="n"/>
      <c r="R82" s="12" t="n"/>
      <c r="S82" s="13">
        <f>IF(OR(R82="",J82=""),"",R82/J82-1)</f>
        <v/>
      </c>
      <c r="T82" s="14">
        <f>IF(OR(L82="",R82="",J82=""),"",SQRT(4+(L82^2-4)*(R82/J82)^2))</f>
        <v/>
      </c>
      <c r="U82" s="7" t="n"/>
      <c r="V82" s="7" t="n"/>
    </row>
    <row r="83">
      <c r="A83" s="7" t="inlineStr">
        <is>
          <t>p-3/8-1-i1</t>
        </is>
      </c>
      <c r="B83" s="7" t="inlineStr">
        <is>
          <t>3/8</t>
        </is>
      </c>
      <c r="C83" s="7" t="inlineStr">
        <is>
          <t>p</t>
        </is>
      </c>
      <c r="D83" s="7" t="inlineStr">
        <is>
          <t>PVC-80</t>
        </is>
      </c>
      <c r="E83" s="7" t="n">
        <v>1</v>
      </c>
      <c r="F83" s="7" t="n">
        <v>1</v>
      </c>
      <c r="G83" s="8" t="n"/>
      <c r="H83" s="27" t="n"/>
      <c r="I83" s="27" t="n"/>
      <c r="J83" s="8" t="n"/>
      <c r="K83" s="8" t="n"/>
      <c r="L83" s="10" t="n"/>
      <c r="M83" s="8" t="n"/>
      <c r="N83" s="11">
        <f>IF(OR(J83="",H83="",I83=""),"",J83/((I83-H83)*1440))</f>
        <v/>
      </c>
      <c r="O83" s="7" t="n"/>
      <c r="P83" s="7" t="n"/>
      <c r="Q83" s="7" t="n"/>
      <c r="R83" s="12" t="n"/>
      <c r="S83" s="13">
        <f>IF(OR(R83="",J83=""),"",R83/J83-1)</f>
        <v/>
      </c>
      <c r="T83" s="14">
        <f>IF(OR(L83="",R83="",J83=""),"",SQRT(4+(L83^2-4)*(R83/J83)^2))</f>
        <v/>
      </c>
      <c r="U83" s="7" t="n"/>
      <c r="V83" s="7" t="n"/>
    </row>
    <row r="84">
      <c r="A84" s="7" t="inlineStr">
        <is>
          <t>p-3/8-1-i2</t>
        </is>
      </c>
      <c r="B84" s="7" t="inlineStr">
        <is>
          <t>3/8</t>
        </is>
      </c>
      <c r="C84" s="7" t="inlineStr">
        <is>
          <t>p</t>
        </is>
      </c>
      <c r="D84" s="7" t="inlineStr">
        <is>
          <t>PVC-80</t>
        </is>
      </c>
      <c r="E84" s="7" t="n">
        <v>1</v>
      </c>
      <c r="F84" s="7" t="n">
        <v>2</v>
      </c>
      <c r="G84" s="8" t="n"/>
      <c r="H84" s="27" t="n"/>
      <c r="I84" s="27" t="n"/>
      <c r="J84" s="8" t="n"/>
      <c r="K84" s="8" t="n"/>
      <c r="L84" s="10" t="n"/>
      <c r="M84" s="8" t="n"/>
      <c r="N84" s="11">
        <f>IF(OR(J84="",H84="",I84=""),"",J84/((I84-H84)*1440))</f>
        <v/>
      </c>
      <c r="O84" s="7" t="n"/>
      <c r="P84" s="7" t="n"/>
      <c r="Q84" s="7" t="n"/>
      <c r="R84" s="12" t="n"/>
      <c r="S84" s="13">
        <f>IF(OR(R84="",J84=""),"",R84/J84-1)</f>
        <v/>
      </c>
      <c r="T84" s="14">
        <f>IF(OR(L84="",R84="",J84=""),"",SQRT(4+(L84^2-4)*(R84/J84)^2))</f>
        <v/>
      </c>
      <c r="U84" s="7" t="n"/>
      <c r="V84" s="7" t="n"/>
    </row>
    <row r="85">
      <c r="A85" s="7" t="inlineStr">
        <is>
          <t>p-3/8-1-i3</t>
        </is>
      </c>
      <c r="B85" s="7" t="inlineStr">
        <is>
          <t>3/8</t>
        </is>
      </c>
      <c r="C85" s="7" t="inlineStr">
        <is>
          <t>p</t>
        </is>
      </c>
      <c r="D85" s="7" t="inlineStr">
        <is>
          <t>PVC-80</t>
        </is>
      </c>
      <c r="E85" s="7" t="n">
        <v>1</v>
      </c>
      <c r="F85" s="7" t="n">
        <v>3</v>
      </c>
      <c r="G85" s="8" t="n"/>
      <c r="H85" s="27" t="n"/>
      <c r="I85" s="27" t="n"/>
      <c r="J85" s="8" t="n"/>
      <c r="K85" s="8" t="n"/>
      <c r="L85" s="10" t="n"/>
      <c r="M85" s="8" t="n"/>
      <c r="N85" s="11">
        <f>IF(OR(J85="",H85="",I85=""),"",J85/((I85-H85)*1440))</f>
        <v/>
      </c>
      <c r="O85" s="7" t="n"/>
      <c r="P85" s="7" t="n"/>
      <c r="Q85" s="7" t="n"/>
      <c r="R85" s="12" t="n"/>
      <c r="S85" s="13">
        <f>IF(OR(R85="",J85=""),"",R85/J85-1)</f>
        <v/>
      </c>
      <c r="T85" s="14">
        <f>IF(OR(L85="",R85="",J85=""),"",SQRT(4+(L85^2-4)*(R85/J85)^2))</f>
        <v/>
      </c>
      <c r="U85" s="7" t="n"/>
      <c r="V85" s="7" t="n"/>
    </row>
    <row r="86">
      <c r="A86" s="7" t="inlineStr">
        <is>
          <t>p-3/8-3-i1</t>
        </is>
      </c>
      <c r="B86" s="7" t="inlineStr">
        <is>
          <t>3/8</t>
        </is>
      </c>
      <c r="C86" s="7" t="inlineStr">
        <is>
          <t>p</t>
        </is>
      </c>
      <c r="D86" s="7" t="inlineStr">
        <is>
          <t>PVC-80</t>
        </is>
      </c>
      <c r="E86" s="7" t="n">
        <v>3</v>
      </c>
      <c r="F86" s="7" t="n">
        <v>1</v>
      </c>
      <c r="G86" s="8" t="n"/>
      <c r="H86" s="27" t="n"/>
      <c r="I86" s="27" t="n"/>
      <c r="J86" s="8" t="n"/>
      <c r="K86" s="8" t="n"/>
      <c r="L86" s="10" t="n"/>
      <c r="M86" s="8" t="n"/>
      <c r="N86" s="11">
        <f>IF(OR(J86="",H86="",I86=""),"",J86/((I86-H86)*1440))</f>
        <v/>
      </c>
      <c r="O86" s="7" t="n"/>
      <c r="P86" s="7" t="n"/>
      <c r="Q86" s="7" t="n"/>
      <c r="R86" s="12" t="n"/>
      <c r="S86" s="13">
        <f>IF(OR(R86="",J86=""),"",R86/J86-1)</f>
        <v/>
      </c>
      <c r="T86" s="14">
        <f>IF(OR(L86="",R86="",J86=""),"",SQRT(4+(L86^2-4)*(R86/J86)^2))</f>
        <v/>
      </c>
      <c r="U86" s="7" t="n"/>
      <c r="V86" s="7" t="n"/>
    </row>
    <row r="87">
      <c r="A87" s="7" t="inlineStr">
        <is>
          <t>p-3/8-3-i2</t>
        </is>
      </c>
      <c r="B87" s="7" t="inlineStr">
        <is>
          <t>3/8</t>
        </is>
      </c>
      <c r="C87" s="7" t="inlineStr">
        <is>
          <t>p</t>
        </is>
      </c>
      <c r="D87" s="7" t="inlineStr">
        <is>
          <t>PVC-80</t>
        </is>
      </c>
      <c r="E87" s="7" t="n">
        <v>3</v>
      </c>
      <c r="F87" s="7" t="n">
        <v>2</v>
      </c>
      <c r="G87" s="8" t="n"/>
      <c r="H87" s="27" t="n"/>
      <c r="I87" s="27" t="n"/>
      <c r="J87" s="8" t="n"/>
      <c r="K87" s="8" t="n"/>
      <c r="L87" s="10" t="n"/>
      <c r="M87" s="8" t="n"/>
      <c r="N87" s="11">
        <f>IF(OR(J87="",H87="",I87=""),"",J87/((I87-H87)*1440))</f>
        <v/>
      </c>
      <c r="O87" s="7" t="n"/>
      <c r="P87" s="7" t="n"/>
      <c r="Q87" s="7" t="n"/>
      <c r="R87" s="12" t="n"/>
      <c r="S87" s="13">
        <f>IF(OR(R87="",J87=""),"",R87/J87-1)</f>
        <v/>
      </c>
      <c r="T87" s="14">
        <f>IF(OR(L87="",R87="",J87=""),"",SQRT(4+(L87^2-4)*(R87/J87)^2))</f>
        <v/>
      </c>
      <c r="U87" s="7" t="n"/>
      <c r="V87" s="7" t="n"/>
    </row>
    <row r="88">
      <c r="A88" s="7" t="inlineStr">
        <is>
          <t>p-3/8-3-i3</t>
        </is>
      </c>
      <c r="B88" s="7" t="inlineStr">
        <is>
          <t>3/8</t>
        </is>
      </c>
      <c r="C88" s="7" t="inlineStr">
        <is>
          <t>p</t>
        </is>
      </c>
      <c r="D88" s="7" t="inlineStr">
        <is>
          <t>PVC-80</t>
        </is>
      </c>
      <c r="E88" s="7" t="n">
        <v>3</v>
      </c>
      <c r="F88" s="7" t="n">
        <v>3</v>
      </c>
      <c r="G88" s="8" t="n"/>
      <c r="H88" s="27" t="n"/>
      <c r="I88" s="27" t="n"/>
      <c r="J88" s="8" t="n"/>
      <c r="K88" s="8" t="n"/>
      <c r="L88" s="10" t="n"/>
      <c r="M88" s="8" t="n"/>
      <c r="N88" s="11">
        <f>IF(OR(J88="",H88="",I88=""),"",J88/((I88-H88)*1440))</f>
        <v/>
      </c>
      <c r="O88" s="7" t="n"/>
      <c r="P88" s="7" t="n"/>
      <c r="Q88" s="7" t="n"/>
      <c r="R88" s="12" t="n"/>
      <c r="S88" s="13">
        <f>IF(OR(R88="",J88=""),"",R88/J88-1)</f>
        <v/>
      </c>
      <c r="T88" s="14">
        <f>IF(OR(L88="",R88="",J88=""),"",SQRT(4+(L88^2-4)*(R88/J88)^2))</f>
        <v/>
      </c>
      <c r="U88" s="7" t="n"/>
      <c r="V88" s="7" t="n"/>
    </row>
    <row r="89">
      <c r="A89" s="7" t="inlineStr">
        <is>
          <t>p-3/8-5-i1</t>
        </is>
      </c>
      <c r="B89" s="7" t="inlineStr">
        <is>
          <t>3/8</t>
        </is>
      </c>
      <c r="C89" s="7" t="inlineStr">
        <is>
          <t>p</t>
        </is>
      </c>
      <c r="D89" s="7" t="inlineStr">
        <is>
          <t>PVC-80</t>
        </is>
      </c>
      <c r="E89" s="7" t="n">
        <v>5</v>
      </c>
      <c r="F89" s="7" t="n">
        <v>1</v>
      </c>
      <c r="G89" s="8" t="n"/>
      <c r="H89" s="27" t="n"/>
      <c r="I89" s="27" t="n"/>
      <c r="J89" s="8" t="n"/>
      <c r="K89" s="8" t="n"/>
      <c r="L89" s="10" t="n"/>
      <c r="M89" s="8" t="n"/>
      <c r="N89" s="11">
        <f>IF(OR(J89="",H89="",I89=""),"",J89/((I89-H89)*1440))</f>
        <v/>
      </c>
      <c r="O89" s="7" t="n"/>
      <c r="P89" s="7" t="n"/>
      <c r="Q89" s="7" t="n"/>
      <c r="R89" s="12" t="n"/>
      <c r="S89" s="13">
        <f>IF(OR(R89="",J89=""),"",R89/J89-1)</f>
        <v/>
      </c>
      <c r="T89" s="14">
        <f>IF(OR(L89="",R89="",J89=""),"",SQRT(4+(L89^2-4)*(R89/J89)^2))</f>
        <v/>
      </c>
      <c r="U89" s="7" t="n"/>
      <c r="V89" s="7" t="n"/>
    </row>
    <row r="90">
      <c r="A90" s="7" t="inlineStr">
        <is>
          <t>p-3/8-5-i2</t>
        </is>
      </c>
      <c r="B90" s="7" t="inlineStr">
        <is>
          <t>3/8</t>
        </is>
      </c>
      <c r="C90" s="7" t="inlineStr">
        <is>
          <t>p</t>
        </is>
      </c>
      <c r="D90" s="7" t="inlineStr">
        <is>
          <t>PVC-80</t>
        </is>
      </c>
      <c r="E90" s="7" t="n">
        <v>5</v>
      </c>
      <c r="F90" s="7" t="n">
        <v>2</v>
      </c>
      <c r="G90" s="8" t="n"/>
      <c r="H90" s="27" t="n"/>
      <c r="I90" s="27" t="n"/>
      <c r="J90" s="8" t="n"/>
      <c r="K90" s="8" t="n"/>
      <c r="L90" s="10" t="n"/>
      <c r="M90" s="8" t="n"/>
      <c r="N90" s="11">
        <f>IF(OR(J90="",H90="",I90=""),"",J90/((I90-H90)*1440))</f>
        <v/>
      </c>
      <c r="O90" s="7" t="n"/>
      <c r="P90" s="7" t="n"/>
      <c r="Q90" s="7" t="n"/>
      <c r="R90" s="12" t="n"/>
      <c r="S90" s="13">
        <f>IF(OR(R90="",J90=""),"",R90/J90-1)</f>
        <v/>
      </c>
      <c r="T90" s="14">
        <f>IF(OR(L90="",R90="",J90=""),"",SQRT(4+(L90^2-4)*(R90/J90)^2))</f>
        <v/>
      </c>
      <c r="U90" s="7" t="n"/>
      <c r="V90" s="7" t="n"/>
    </row>
    <row r="91">
      <c r="A91" s="7" t="inlineStr">
        <is>
          <t>p-3/8-5-i3</t>
        </is>
      </c>
      <c r="B91" s="7" t="inlineStr">
        <is>
          <t>3/8</t>
        </is>
      </c>
      <c r="C91" s="7" t="inlineStr">
        <is>
          <t>p</t>
        </is>
      </c>
      <c r="D91" s="7" t="inlineStr">
        <is>
          <t>PVC-80</t>
        </is>
      </c>
      <c r="E91" s="7" t="n">
        <v>5</v>
      </c>
      <c r="F91" s="7" t="n">
        <v>3</v>
      </c>
      <c r="G91" s="8" t="n"/>
      <c r="H91" s="27" t="n"/>
      <c r="I91" s="27" t="n"/>
      <c r="J91" s="8" t="n"/>
      <c r="K91" s="8" t="n"/>
      <c r="L91" s="10" t="n"/>
      <c r="M91" s="8" t="n"/>
      <c r="N91" s="11">
        <f>IF(OR(J91="",H91="",I91=""),"",J91/((I91-H91)*1440))</f>
        <v/>
      </c>
      <c r="O91" s="7" t="n"/>
      <c r="P91" s="7" t="n"/>
      <c r="Q91" s="7" t="n"/>
      <c r="R91" s="12" t="n"/>
      <c r="S91" s="13">
        <f>IF(OR(R91="",J91=""),"",R91/J91-1)</f>
        <v/>
      </c>
      <c r="T91" s="14">
        <f>IF(OR(L91="",R91="",J91=""),"",SQRT(4+(L91^2-4)*(R91/J91)^2))</f>
        <v/>
      </c>
      <c r="U91" s="7" t="n"/>
      <c r="V91" s="7" t="n"/>
    </row>
    <row r="92">
      <c r="A92" s="7" t="inlineStr">
        <is>
          <t>p-3/8-10-i1</t>
        </is>
      </c>
      <c r="B92" s="7" t="inlineStr">
        <is>
          <t>3/8</t>
        </is>
      </c>
      <c r="C92" s="7" t="inlineStr">
        <is>
          <t>p</t>
        </is>
      </c>
      <c r="D92" s="7" t="inlineStr">
        <is>
          <t>PVC-80</t>
        </is>
      </c>
      <c r="E92" s="7" t="n">
        <v>10</v>
      </c>
      <c r="F92" s="7" t="n">
        <v>1</v>
      </c>
      <c r="G92" s="8" t="n"/>
      <c r="H92" s="27" t="n"/>
      <c r="I92" s="27" t="n"/>
      <c r="J92" s="8" t="n"/>
      <c r="K92" s="8" t="n"/>
      <c r="L92" s="10" t="n"/>
      <c r="M92" s="8" t="n"/>
      <c r="N92" s="11">
        <f>IF(OR(J92="",H92="",I92=""),"",J92/((I92-H92)*1440))</f>
        <v/>
      </c>
      <c r="O92" s="7" t="n"/>
      <c r="P92" s="7" t="n"/>
      <c r="Q92" s="7" t="n"/>
      <c r="R92" s="12" t="n"/>
      <c r="S92" s="13">
        <f>IF(OR(R92="",J92=""),"",R92/J92-1)</f>
        <v/>
      </c>
      <c r="T92" s="14">
        <f>IF(OR(L92="",R92="",J92=""),"",SQRT(4+(L92^2-4)*(R92/J92)^2))</f>
        <v/>
      </c>
      <c r="U92" s="7" t="n"/>
      <c r="V92" s="7" t="n"/>
    </row>
    <row r="93">
      <c r="A93" s="7" t="inlineStr">
        <is>
          <t>p-3/8-10-i2</t>
        </is>
      </c>
      <c r="B93" s="7" t="inlineStr">
        <is>
          <t>3/8</t>
        </is>
      </c>
      <c r="C93" s="7" t="inlineStr">
        <is>
          <t>p</t>
        </is>
      </c>
      <c r="D93" s="7" t="inlineStr">
        <is>
          <t>PVC-80</t>
        </is>
      </c>
      <c r="E93" s="7" t="n">
        <v>10</v>
      </c>
      <c r="F93" s="7" t="n">
        <v>2</v>
      </c>
      <c r="G93" s="8" t="n"/>
      <c r="H93" s="27" t="n"/>
      <c r="I93" s="27" t="n"/>
      <c r="J93" s="8" t="n"/>
      <c r="K93" s="8" t="n"/>
      <c r="L93" s="10" t="n"/>
      <c r="M93" s="8" t="n"/>
      <c r="N93" s="11">
        <f>IF(OR(J93="",H93="",I93=""),"",J93/((I93-H93)*1440))</f>
        <v/>
      </c>
      <c r="O93" s="7" t="n"/>
      <c r="P93" s="7" t="n"/>
      <c r="Q93" s="7" t="n"/>
      <c r="R93" s="12" t="n"/>
      <c r="S93" s="13">
        <f>IF(OR(R93="",J93=""),"",R93/J93-1)</f>
        <v/>
      </c>
      <c r="T93" s="14">
        <f>IF(OR(L93="",R93="",J93=""),"",SQRT(4+(L93^2-4)*(R93/J93)^2))</f>
        <v/>
      </c>
      <c r="U93" s="7" t="n"/>
      <c r="V93" s="7" t="n"/>
    </row>
    <row r="94">
      <c r="A94" s="7" t="inlineStr">
        <is>
          <t>p-3/8-10-i3</t>
        </is>
      </c>
      <c r="B94" s="7" t="inlineStr">
        <is>
          <t>3/8</t>
        </is>
      </c>
      <c r="C94" s="7" t="inlineStr">
        <is>
          <t>p</t>
        </is>
      </c>
      <c r="D94" s="7" t="inlineStr">
        <is>
          <t>PVC-80</t>
        </is>
      </c>
      <c r="E94" s="7" t="n">
        <v>10</v>
      </c>
      <c r="F94" s="7" t="n">
        <v>3</v>
      </c>
      <c r="G94" s="8" t="n"/>
      <c r="H94" s="27" t="n"/>
      <c r="I94" s="27" t="n"/>
      <c r="J94" s="8" t="n"/>
      <c r="K94" s="8" t="n"/>
      <c r="L94" s="10" t="n"/>
      <c r="M94" s="8" t="n"/>
      <c r="N94" s="11">
        <f>IF(OR(J94="",H94="",I94=""),"",J94/((I94-H94)*1440))</f>
        <v/>
      </c>
      <c r="O94" s="7" t="n"/>
      <c r="P94" s="7" t="n"/>
      <c r="Q94" s="7" t="n"/>
      <c r="R94" s="12" t="n"/>
      <c r="S94" s="13">
        <f>IF(OR(R94="",J94=""),"",R94/J94-1)</f>
        <v/>
      </c>
      <c r="T94" s="14">
        <f>IF(OR(L94="",R94="",J94=""),"",SQRT(4+(L94^2-4)*(R94/J94)^2))</f>
        <v/>
      </c>
      <c r="U94" s="7" t="n"/>
      <c r="V94" s="7" t="n"/>
    </row>
    <row r="95">
      <c r="A95" s="7" t="inlineStr">
        <is>
          <t>x-3/8-0.5-i1</t>
        </is>
      </c>
      <c r="B95" s="7" t="inlineStr">
        <is>
          <t>3/8</t>
        </is>
      </c>
      <c r="C95" s="7" t="inlineStr">
        <is>
          <t>x</t>
        </is>
      </c>
      <c r="D95" s="7" t="inlineStr">
        <is>
          <t>PEX-B</t>
        </is>
      </c>
      <c r="E95" s="7" t="n">
        <v>0.5</v>
      </c>
      <c r="F95" s="7" t="n">
        <v>1</v>
      </c>
      <c r="G95" s="8" t="n"/>
      <c r="H95" s="27" t="n"/>
      <c r="I95" s="27" t="n"/>
      <c r="J95" s="8" t="n"/>
      <c r="K95" s="8" t="n"/>
      <c r="L95" s="10" t="n"/>
      <c r="M95" s="8" t="n"/>
      <c r="N95" s="11">
        <f>IF(OR(J95="",H95="",I95=""),"",J95/((I95-H95)*1440))</f>
        <v/>
      </c>
      <c r="O95" s="7" t="n"/>
      <c r="P95" s="7" t="n"/>
      <c r="Q95" s="7" t="n"/>
      <c r="R95" s="12" t="n"/>
      <c r="S95" s="13">
        <f>IF(OR(R95="",J95=""),"",R95/J95-1)</f>
        <v/>
      </c>
      <c r="T95" s="14">
        <f>IF(OR(L95="",R95="",J95=""),"",SQRT(4+(L95^2-4)*(R95/J95)^2))</f>
        <v/>
      </c>
      <c r="U95" s="7" t="n"/>
      <c r="V95" s="7" t="n"/>
    </row>
    <row r="96">
      <c r="A96" s="7" t="inlineStr">
        <is>
          <t>x-3/8-0.5-i2</t>
        </is>
      </c>
      <c r="B96" s="7" t="inlineStr">
        <is>
          <t>3/8</t>
        </is>
      </c>
      <c r="C96" s="7" t="inlineStr">
        <is>
          <t>x</t>
        </is>
      </c>
      <c r="D96" s="7" t="inlineStr">
        <is>
          <t>PEX-B</t>
        </is>
      </c>
      <c r="E96" s="7" t="n">
        <v>0.5</v>
      </c>
      <c r="F96" s="7" t="n">
        <v>2</v>
      </c>
      <c r="G96" s="8" t="n"/>
      <c r="H96" s="27" t="n"/>
      <c r="I96" s="27" t="n"/>
      <c r="J96" s="8" t="n"/>
      <c r="K96" s="8" t="n"/>
      <c r="L96" s="10" t="n"/>
      <c r="M96" s="8" t="n"/>
      <c r="N96" s="11">
        <f>IF(OR(J96="",H96="",I96=""),"",J96/((I96-H96)*1440))</f>
        <v/>
      </c>
      <c r="O96" s="7" t="n"/>
      <c r="P96" s="7" t="n"/>
      <c r="Q96" s="7" t="n"/>
      <c r="R96" s="12" t="n"/>
      <c r="S96" s="13">
        <f>IF(OR(R96="",J96=""),"",R96/J96-1)</f>
        <v/>
      </c>
      <c r="T96" s="14">
        <f>IF(OR(L96="",R96="",J96=""),"",SQRT(4+(L96^2-4)*(R96/J96)^2))</f>
        <v/>
      </c>
      <c r="U96" s="7" t="n"/>
      <c r="V96" s="7" t="n"/>
    </row>
    <row r="97">
      <c r="A97" s="7" t="inlineStr">
        <is>
          <t>x-3/8-0.5-i3</t>
        </is>
      </c>
      <c r="B97" s="7" t="inlineStr">
        <is>
          <t>3/8</t>
        </is>
      </c>
      <c r="C97" s="7" t="inlineStr">
        <is>
          <t>x</t>
        </is>
      </c>
      <c r="D97" s="7" t="inlineStr">
        <is>
          <t>PEX-B</t>
        </is>
      </c>
      <c r="E97" s="7" t="n">
        <v>0.5</v>
      </c>
      <c r="F97" s="7" t="n">
        <v>3</v>
      </c>
      <c r="G97" s="8" t="n"/>
      <c r="H97" s="27" t="n"/>
      <c r="I97" s="27" t="n"/>
      <c r="J97" s="8" t="n"/>
      <c r="K97" s="8" t="n"/>
      <c r="L97" s="10" t="n"/>
      <c r="M97" s="8" t="n"/>
      <c r="N97" s="11">
        <f>IF(OR(J97="",H97="",I97=""),"",J97/((I97-H97)*1440))</f>
        <v/>
      </c>
      <c r="O97" s="7" t="n"/>
      <c r="P97" s="7" t="n"/>
      <c r="Q97" s="7" t="n"/>
      <c r="R97" s="12" t="n"/>
      <c r="S97" s="13">
        <f>IF(OR(R97="",J97=""),"",R97/J97-1)</f>
        <v/>
      </c>
      <c r="T97" s="14">
        <f>IF(OR(L97="",R97="",J97=""),"",SQRT(4+(L97^2-4)*(R97/J97)^2))</f>
        <v/>
      </c>
      <c r="U97" s="7" t="n"/>
      <c r="V97" s="7" t="n"/>
    </row>
    <row r="98">
      <c r="A98" s="7" t="inlineStr">
        <is>
          <t>x-3/8-1-i1</t>
        </is>
      </c>
      <c r="B98" s="7" t="inlineStr">
        <is>
          <t>3/8</t>
        </is>
      </c>
      <c r="C98" s="7" t="inlineStr">
        <is>
          <t>x</t>
        </is>
      </c>
      <c r="D98" s="7" t="inlineStr">
        <is>
          <t>PEX-B</t>
        </is>
      </c>
      <c r="E98" s="7" t="n">
        <v>1</v>
      </c>
      <c r="F98" s="7" t="n">
        <v>1</v>
      </c>
      <c r="G98" s="8" t="n"/>
      <c r="H98" s="27" t="n"/>
      <c r="I98" s="27" t="n"/>
      <c r="J98" s="8" t="n"/>
      <c r="K98" s="8" t="n"/>
      <c r="L98" s="10" t="n"/>
      <c r="M98" s="8" t="n"/>
      <c r="N98" s="11">
        <f>IF(OR(J98="",H98="",I98=""),"",J98/((I98-H98)*1440))</f>
        <v/>
      </c>
      <c r="O98" s="7" t="n"/>
      <c r="P98" s="7" t="n"/>
      <c r="Q98" s="7" t="n"/>
      <c r="R98" s="12" t="n"/>
      <c r="S98" s="13">
        <f>IF(OR(R98="",J98=""),"",R98/J98-1)</f>
        <v/>
      </c>
      <c r="T98" s="14">
        <f>IF(OR(L98="",R98="",J98=""),"",SQRT(4+(L98^2-4)*(R98/J98)^2))</f>
        <v/>
      </c>
      <c r="U98" s="7" t="n"/>
      <c r="V98" s="7" t="n"/>
    </row>
    <row r="99">
      <c r="A99" s="7" t="inlineStr">
        <is>
          <t>x-3/8-1-i2</t>
        </is>
      </c>
      <c r="B99" s="7" t="inlineStr">
        <is>
          <t>3/8</t>
        </is>
      </c>
      <c r="C99" s="7" t="inlineStr">
        <is>
          <t>x</t>
        </is>
      </c>
      <c r="D99" s="7" t="inlineStr">
        <is>
          <t>PEX-B</t>
        </is>
      </c>
      <c r="E99" s="7" t="n">
        <v>1</v>
      </c>
      <c r="F99" s="7" t="n">
        <v>2</v>
      </c>
      <c r="G99" s="8" t="n"/>
      <c r="H99" s="27" t="n"/>
      <c r="I99" s="27" t="n"/>
      <c r="J99" s="8" t="n"/>
      <c r="K99" s="8" t="n"/>
      <c r="L99" s="10" t="n"/>
      <c r="M99" s="8" t="n"/>
      <c r="N99" s="11">
        <f>IF(OR(J99="",H99="",I99=""),"",J99/((I99-H99)*1440))</f>
        <v/>
      </c>
      <c r="O99" s="7" t="n"/>
      <c r="P99" s="7" t="n"/>
      <c r="Q99" s="7" t="n"/>
      <c r="R99" s="12" t="n"/>
      <c r="S99" s="13">
        <f>IF(OR(R99="",J99=""),"",R99/J99-1)</f>
        <v/>
      </c>
      <c r="T99" s="14">
        <f>IF(OR(L99="",R99="",J99=""),"",SQRT(4+(L99^2-4)*(R99/J99)^2))</f>
        <v/>
      </c>
      <c r="U99" s="7" t="n"/>
      <c r="V99" s="7" t="n"/>
    </row>
    <row r="100">
      <c r="A100" s="7" t="inlineStr">
        <is>
          <t>x-3/8-1-i3</t>
        </is>
      </c>
      <c r="B100" s="7" t="inlineStr">
        <is>
          <t>3/8</t>
        </is>
      </c>
      <c r="C100" s="7" t="inlineStr">
        <is>
          <t>x</t>
        </is>
      </c>
      <c r="D100" s="7" t="inlineStr">
        <is>
          <t>PEX-B</t>
        </is>
      </c>
      <c r="E100" s="7" t="n">
        <v>1</v>
      </c>
      <c r="F100" s="7" t="n">
        <v>3</v>
      </c>
      <c r="G100" s="8" t="n"/>
      <c r="H100" s="27" t="n"/>
      <c r="I100" s="27" t="n"/>
      <c r="J100" s="8" t="n"/>
      <c r="K100" s="8" t="n"/>
      <c r="L100" s="10" t="n"/>
      <c r="M100" s="8" t="n"/>
      <c r="N100" s="11">
        <f>IF(OR(J100="",H100="",I100=""),"",J100/((I100-H100)*1440))</f>
        <v/>
      </c>
      <c r="O100" s="7" t="n"/>
      <c r="P100" s="7" t="n"/>
      <c r="Q100" s="7" t="n"/>
      <c r="R100" s="12" t="n"/>
      <c r="S100" s="13">
        <f>IF(OR(R100="",J100=""),"",R100/J100-1)</f>
        <v/>
      </c>
      <c r="T100" s="14">
        <f>IF(OR(L100="",R100="",J100=""),"",SQRT(4+(L100^2-4)*(R100/J100)^2))</f>
        <v/>
      </c>
      <c r="U100" s="7" t="n"/>
      <c r="V100" s="7" t="n"/>
    </row>
    <row r="101">
      <c r="A101" s="7" t="inlineStr">
        <is>
          <t>x-3/8-3-i1</t>
        </is>
      </c>
      <c r="B101" s="7" t="inlineStr">
        <is>
          <t>3/8</t>
        </is>
      </c>
      <c r="C101" s="7" t="inlineStr">
        <is>
          <t>x</t>
        </is>
      </c>
      <c r="D101" s="7" t="inlineStr">
        <is>
          <t>PEX-B</t>
        </is>
      </c>
      <c r="E101" s="7" t="n">
        <v>3</v>
      </c>
      <c r="F101" s="7" t="n">
        <v>1</v>
      </c>
      <c r="G101" s="8" t="n"/>
      <c r="H101" s="27" t="n"/>
      <c r="I101" s="27" t="n"/>
      <c r="J101" s="8" t="n"/>
      <c r="K101" s="8" t="n"/>
      <c r="L101" s="10" t="n"/>
      <c r="M101" s="8" t="n"/>
      <c r="N101" s="11">
        <f>IF(OR(J101="",H101="",I101=""),"",J101/((I101-H101)*1440))</f>
        <v/>
      </c>
      <c r="O101" s="7" t="n"/>
      <c r="P101" s="7" t="n"/>
      <c r="Q101" s="7" t="n"/>
      <c r="R101" s="12" t="n"/>
      <c r="S101" s="13">
        <f>IF(OR(R101="",J101=""),"",R101/J101-1)</f>
        <v/>
      </c>
      <c r="T101" s="14">
        <f>IF(OR(L101="",R101="",J101=""),"",SQRT(4+(L101^2-4)*(R101/J101)^2))</f>
        <v/>
      </c>
      <c r="U101" s="7" t="n"/>
      <c r="V101" s="7" t="n"/>
    </row>
    <row r="102">
      <c r="A102" s="7" t="inlineStr">
        <is>
          <t>x-3/8-3-i2</t>
        </is>
      </c>
      <c r="B102" s="7" t="inlineStr">
        <is>
          <t>3/8</t>
        </is>
      </c>
      <c r="C102" s="7" t="inlineStr">
        <is>
          <t>x</t>
        </is>
      </c>
      <c r="D102" s="7" t="inlineStr">
        <is>
          <t>PEX-B</t>
        </is>
      </c>
      <c r="E102" s="7" t="n">
        <v>3</v>
      </c>
      <c r="F102" s="7" t="n">
        <v>2</v>
      </c>
      <c r="G102" s="8" t="n"/>
      <c r="H102" s="27" t="n"/>
      <c r="I102" s="27" t="n"/>
      <c r="J102" s="8" t="n"/>
      <c r="K102" s="8" t="n"/>
      <c r="L102" s="10" t="n"/>
      <c r="M102" s="8" t="n"/>
      <c r="N102" s="11">
        <f>IF(OR(J102="",H102="",I102=""),"",J102/((I102-H102)*1440))</f>
        <v/>
      </c>
      <c r="O102" s="7" t="n"/>
      <c r="P102" s="7" t="n"/>
      <c r="Q102" s="7" t="n"/>
      <c r="R102" s="12" t="n"/>
      <c r="S102" s="13">
        <f>IF(OR(R102="",J102=""),"",R102/J102-1)</f>
        <v/>
      </c>
      <c r="T102" s="14">
        <f>IF(OR(L102="",R102="",J102=""),"",SQRT(4+(L102^2-4)*(R102/J102)^2))</f>
        <v/>
      </c>
      <c r="U102" s="7" t="n"/>
      <c r="V102" s="7" t="n"/>
    </row>
    <row r="103">
      <c r="A103" s="7" t="inlineStr">
        <is>
          <t>x-3/8-3-i3</t>
        </is>
      </c>
      <c r="B103" s="7" t="inlineStr">
        <is>
          <t>3/8</t>
        </is>
      </c>
      <c r="C103" s="7" t="inlineStr">
        <is>
          <t>x</t>
        </is>
      </c>
      <c r="D103" s="7" t="inlineStr">
        <is>
          <t>PEX-B</t>
        </is>
      </c>
      <c r="E103" s="7" t="n">
        <v>3</v>
      </c>
      <c r="F103" s="7" t="n">
        <v>3</v>
      </c>
      <c r="G103" s="8" t="n"/>
      <c r="H103" s="27" t="n"/>
      <c r="I103" s="27" t="n"/>
      <c r="J103" s="8" t="n"/>
      <c r="K103" s="8" t="n"/>
      <c r="L103" s="10" t="n"/>
      <c r="M103" s="8" t="n"/>
      <c r="N103" s="11">
        <f>IF(OR(J103="",H103="",I103=""),"",J103/((I103-H103)*1440))</f>
        <v/>
      </c>
      <c r="O103" s="7" t="n"/>
      <c r="P103" s="7" t="n"/>
      <c r="Q103" s="7" t="n"/>
      <c r="R103" s="12" t="n"/>
      <c r="S103" s="13">
        <f>IF(OR(R103="",J103=""),"",R103/J103-1)</f>
        <v/>
      </c>
      <c r="T103" s="14">
        <f>IF(OR(L103="",R103="",J103=""),"",SQRT(4+(L103^2-4)*(R103/J103)^2))</f>
        <v/>
      </c>
      <c r="U103" s="7" t="n"/>
      <c r="V103" s="7" t="n"/>
    </row>
    <row r="104">
      <c r="A104" s="7" t="inlineStr">
        <is>
          <t>x-3/8-5-i1</t>
        </is>
      </c>
      <c r="B104" s="7" t="inlineStr">
        <is>
          <t>3/8</t>
        </is>
      </c>
      <c r="C104" s="7" t="inlineStr">
        <is>
          <t>x</t>
        </is>
      </c>
      <c r="D104" s="7" t="inlineStr">
        <is>
          <t>PEX-B</t>
        </is>
      </c>
      <c r="E104" s="7" t="n">
        <v>5</v>
      </c>
      <c r="F104" s="7" t="n">
        <v>1</v>
      </c>
      <c r="G104" s="8" t="n"/>
      <c r="H104" s="27" t="n"/>
      <c r="I104" s="27" t="n"/>
      <c r="J104" s="8" t="n"/>
      <c r="K104" s="8" t="n"/>
      <c r="L104" s="10" t="n"/>
      <c r="M104" s="8" t="n"/>
      <c r="N104" s="11">
        <f>IF(OR(J104="",H104="",I104=""),"",J104/((I104-H104)*1440))</f>
        <v/>
      </c>
      <c r="O104" s="7" t="n"/>
      <c r="P104" s="7" t="n"/>
      <c r="Q104" s="7" t="n"/>
      <c r="R104" s="12" t="n"/>
      <c r="S104" s="13">
        <f>IF(OR(R104="",J104=""),"",R104/J104-1)</f>
        <v/>
      </c>
      <c r="T104" s="14">
        <f>IF(OR(L104="",R104="",J104=""),"",SQRT(4+(L104^2-4)*(R104/J104)^2))</f>
        <v/>
      </c>
      <c r="U104" s="7" t="n"/>
      <c r="V104" s="7" t="n"/>
    </row>
    <row r="105">
      <c r="A105" s="7" t="inlineStr">
        <is>
          <t>x-3/8-5-i2</t>
        </is>
      </c>
      <c r="B105" s="7" t="inlineStr">
        <is>
          <t>3/8</t>
        </is>
      </c>
      <c r="C105" s="7" t="inlineStr">
        <is>
          <t>x</t>
        </is>
      </c>
      <c r="D105" s="7" t="inlineStr">
        <is>
          <t>PEX-B</t>
        </is>
      </c>
      <c r="E105" s="7" t="n">
        <v>5</v>
      </c>
      <c r="F105" s="7" t="n">
        <v>2</v>
      </c>
      <c r="G105" s="8" t="n"/>
      <c r="H105" s="27" t="n"/>
      <c r="I105" s="27" t="n"/>
      <c r="J105" s="8" t="n"/>
      <c r="K105" s="8" t="n"/>
      <c r="L105" s="10" t="n"/>
      <c r="M105" s="8" t="n"/>
      <c r="N105" s="11">
        <f>IF(OR(J105="",H105="",I105=""),"",J105/((I105-H105)*1440))</f>
        <v/>
      </c>
      <c r="O105" s="7" t="n"/>
      <c r="P105" s="7" t="n"/>
      <c r="Q105" s="7" t="n"/>
      <c r="R105" s="12" t="n"/>
      <c r="S105" s="13">
        <f>IF(OR(R105="",J105=""),"",R105/J105-1)</f>
        <v/>
      </c>
      <c r="T105" s="14">
        <f>IF(OR(L105="",R105="",J105=""),"",SQRT(4+(L105^2-4)*(R105/J105)^2))</f>
        <v/>
      </c>
      <c r="U105" s="7" t="n"/>
      <c r="V105" s="7" t="n"/>
    </row>
    <row r="106">
      <c r="A106" s="7" t="inlineStr">
        <is>
          <t>x-3/8-5-i3</t>
        </is>
      </c>
      <c r="B106" s="7" t="inlineStr">
        <is>
          <t>3/8</t>
        </is>
      </c>
      <c r="C106" s="7" t="inlineStr">
        <is>
          <t>x</t>
        </is>
      </c>
      <c r="D106" s="7" t="inlineStr">
        <is>
          <t>PEX-B</t>
        </is>
      </c>
      <c r="E106" s="7" t="n">
        <v>5</v>
      </c>
      <c r="F106" s="7" t="n">
        <v>3</v>
      </c>
      <c r="G106" s="8" t="n"/>
      <c r="H106" s="27" t="n"/>
      <c r="I106" s="27" t="n"/>
      <c r="J106" s="8" t="n"/>
      <c r="K106" s="8" t="n"/>
      <c r="L106" s="10" t="n"/>
      <c r="M106" s="8" t="n"/>
      <c r="N106" s="11">
        <f>IF(OR(J106="",H106="",I106=""),"",J106/((I106-H106)*1440))</f>
        <v/>
      </c>
      <c r="O106" s="7" t="n"/>
      <c r="P106" s="7" t="n"/>
      <c r="Q106" s="7" t="n"/>
      <c r="R106" s="12" t="n"/>
      <c r="S106" s="13">
        <f>IF(OR(R106="",J106=""),"",R106/J106-1)</f>
        <v/>
      </c>
      <c r="T106" s="14">
        <f>IF(OR(L106="",R106="",J106=""),"",SQRT(4+(L106^2-4)*(R106/J106)^2))</f>
        <v/>
      </c>
      <c r="U106" s="7" t="n"/>
      <c r="V106" s="7" t="n"/>
    </row>
    <row r="107">
      <c r="A107" s="7" t="inlineStr">
        <is>
          <t>x-3/8-10-i1</t>
        </is>
      </c>
      <c r="B107" s="7" t="inlineStr">
        <is>
          <t>3/8</t>
        </is>
      </c>
      <c r="C107" s="7" t="inlineStr">
        <is>
          <t>x</t>
        </is>
      </c>
      <c r="D107" s="7" t="inlineStr">
        <is>
          <t>PEX-B</t>
        </is>
      </c>
      <c r="E107" s="7" t="n">
        <v>10</v>
      </c>
      <c r="F107" s="7" t="n">
        <v>1</v>
      </c>
      <c r="G107" s="8" t="n"/>
      <c r="H107" s="27" t="n"/>
      <c r="I107" s="27" t="n"/>
      <c r="J107" s="8" t="n"/>
      <c r="K107" s="8" t="n"/>
      <c r="L107" s="10" t="n"/>
      <c r="M107" s="8" t="n"/>
      <c r="N107" s="11">
        <f>IF(OR(J107="",H107="",I107=""),"",J107/((I107-H107)*1440))</f>
        <v/>
      </c>
      <c r="O107" s="7" t="n"/>
      <c r="P107" s="7" t="n"/>
      <c r="Q107" s="7" t="n"/>
      <c r="R107" s="12" t="n"/>
      <c r="S107" s="13">
        <f>IF(OR(R107="",J107=""),"",R107/J107-1)</f>
        <v/>
      </c>
      <c r="T107" s="14">
        <f>IF(OR(L107="",R107="",J107=""),"",SQRT(4+(L107^2-4)*(R107/J107)^2))</f>
        <v/>
      </c>
      <c r="U107" s="7" t="n"/>
      <c r="V107" s="7" t="n"/>
    </row>
    <row r="108">
      <c r="A108" s="7" t="inlineStr">
        <is>
          <t>x-3/8-10-i2</t>
        </is>
      </c>
      <c r="B108" s="7" t="inlineStr">
        <is>
          <t>3/8</t>
        </is>
      </c>
      <c r="C108" s="7" t="inlineStr">
        <is>
          <t>x</t>
        </is>
      </c>
      <c r="D108" s="7" t="inlineStr">
        <is>
          <t>PEX-B</t>
        </is>
      </c>
      <c r="E108" s="7" t="n">
        <v>10</v>
      </c>
      <c r="F108" s="7" t="n">
        <v>2</v>
      </c>
      <c r="G108" s="8" t="n"/>
      <c r="H108" s="27" t="n"/>
      <c r="I108" s="27" t="n"/>
      <c r="J108" s="8" t="n"/>
      <c r="K108" s="8" t="n"/>
      <c r="L108" s="10" t="n"/>
      <c r="M108" s="8" t="n"/>
      <c r="N108" s="11">
        <f>IF(OR(J108="",H108="",I108=""),"",J108/((I108-H108)*1440))</f>
        <v/>
      </c>
      <c r="O108" s="7" t="n"/>
      <c r="P108" s="7" t="n"/>
      <c r="Q108" s="7" t="n"/>
      <c r="R108" s="12" t="n"/>
      <c r="S108" s="13">
        <f>IF(OR(R108="",J108=""),"",R108/J108-1)</f>
        <v/>
      </c>
      <c r="T108" s="14">
        <f>IF(OR(L108="",R108="",J108=""),"",SQRT(4+(L108^2-4)*(R108/J108)^2))</f>
        <v/>
      </c>
      <c r="U108" s="7" t="n"/>
      <c r="V108" s="7" t="n"/>
    </row>
    <row r="109">
      <c r="A109" s="7" t="inlineStr">
        <is>
          <t>x-3/8-10-i3</t>
        </is>
      </c>
      <c r="B109" s="7" t="inlineStr">
        <is>
          <t>3/8</t>
        </is>
      </c>
      <c r="C109" s="7" t="inlineStr">
        <is>
          <t>x</t>
        </is>
      </c>
      <c r="D109" s="7" t="inlineStr">
        <is>
          <t>PEX-B</t>
        </is>
      </c>
      <c r="E109" s="7" t="n">
        <v>10</v>
      </c>
      <c r="F109" s="7" t="n">
        <v>3</v>
      </c>
      <c r="G109" s="8" t="n"/>
      <c r="H109" s="27" t="n"/>
      <c r="I109" s="27" t="n"/>
      <c r="J109" s="8" t="n"/>
      <c r="K109" s="8" t="n"/>
      <c r="L109" s="10" t="n"/>
      <c r="M109" s="8" t="n"/>
      <c r="N109" s="11">
        <f>IF(OR(J109="",H109="",I109=""),"",J109/((I109-H109)*1440))</f>
        <v/>
      </c>
      <c r="O109" s="7" t="n"/>
      <c r="P109" s="7" t="n"/>
      <c r="Q109" s="7" t="n"/>
      <c r="R109" s="12" t="n"/>
      <c r="S109" s="13">
        <f>IF(OR(R109="",J109=""),"",R109/J109-1)</f>
        <v/>
      </c>
      <c r="T109" s="14">
        <f>IF(OR(L109="",R109="",J109=""),"",SQRT(4+(L109^2-4)*(R109/J109)^2))</f>
        <v/>
      </c>
      <c r="U109" s="7" t="n"/>
      <c r="V109" s="7" t="n"/>
    </row>
    <row r="110">
      <c r="A110" s="7" t="inlineStr">
        <is>
          <t>B-3/8-0.5-i1</t>
        </is>
      </c>
      <c r="B110" s="7" t="inlineStr">
        <is>
          <t>3/8</t>
        </is>
      </c>
      <c r="C110" s="7" t="inlineStr">
        <is>
          <t>B</t>
        </is>
      </c>
      <c r="D110" s="7" t="inlineStr">
        <is>
          <t>B (.815)</t>
        </is>
      </c>
      <c r="E110" s="7" t="n">
        <v>0.5</v>
      </c>
      <c r="F110" s="7" t="n">
        <v>1</v>
      </c>
      <c r="G110" s="8" t="n"/>
      <c r="H110" s="27" t="n"/>
      <c r="I110" s="27" t="n"/>
      <c r="J110" s="8" t="n"/>
      <c r="K110" s="8" t="n"/>
      <c r="L110" s="10" t="n"/>
      <c r="M110" s="8" t="n"/>
      <c r="N110" s="11">
        <f>IF(OR(J110="",H110="",I110=""),"",J110/((I110-H110)*1440))</f>
        <v/>
      </c>
      <c r="O110" s="7" t="n"/>
      <c r="P110" s="7" t="n"/>
      <c r="Q110" s="7" t="n"/>
      <c r="R110" s="12" t="n"/>
      <c r="S110" s="13">
        <f>IF(OR(R110="",J110=""),"",R110/J110-1)</f>
        <v/>
      </c>
      <c r="T110" s="14">
        <f>IF(OR(L110="",R110="",J110=""),"",SQRT(4+(L110^2-4)*(R110/J110)^2))</f>
        <v/>
      </c>
      <c r="U110" s="7" t="n"/>
      <c r="V110" s="7" t="n"/>
    </row>
    <row r="111">
      <c r="A111" s="7" t="inlineStr">
        <is>
          <t>B-3/8-0.5-i2</t>
        </is>
      </c>
      <c r="B111" s="7" t="inlineStr">
        <is>
          <t>3/8</t>
        </is>
      </c>
      <c r="C111" s="7" t="inlineStr">
        <is>
          <t>B</t>
        </is>
      </c>
      <c r="D111" s="7" t="inlineStr">
        <is>
          <t>B (.815)</t>
        </is>
      </c>
      <c r="E111" s="7" t="n">
        <v>0.5</v>
      </c>
      <c r="F111" s="7" t="n">
        <v>2</v>
      </c>
      <c r="G111" s="8" t="n"/>
      <c r="H111" s="27" t="n"/>
      <c r="I111" s="27" t="n"/>
      <c r="J111" s="8" t="n"/>
      <c r="K111" s="8" t="n"/>
      <c r="L111" s="10" t="n"/>
      <c r="M111" s="8" t="n"/>
      <c r="N111" s="11">
        <f>IF(OR(J111="",H111="",I111=""),"",J111/((I111-H111)*1440))</f>
        <v/>
      </c>
      <c r="O111" s="7" t="n"/>
      <c r="P111" s="7" t="n"/>
      <c r="Q111" s="7" t="n"/>
      <c r="R111" s="12" t="n"/>
      <c r="S111" s="13">
        <f>IF(OR(R111="",J111=""),"",R111/J111-1)</f>
        <v/>
      </c>
      <c r="T111" s="14">
        <f>IF(OR(L111="",R111="",J111=""),"",SQRT(4+(L111^2-4)*(R111/J111)^2))</f>
        <v/>
      </c>
      <c r="U111" s="7" t="n"/>
      <c r="V111" s="7" t="n"/>
    </row>
    <row r="112">
      <c r="A112" s="7" t="inlineStr">
        <is>
          <t>B-3/8-0.5-i3</t>
        </is>
      </c>
      <c r="B112" s="7" t="inlineStr">
        <is>
          <t>3/8</t>
        </is>
      </c>
      <c r="C112" s="7" t="inlineStr">
        <is>
          <t>B</t>
        </is>
      </c>
      <c r="D112" s="7" t="inlineStr">
        <is>
          <t>B (.815)</t>
        </is>
      </c>
      <c r="E112" s="7" t="n">
        <v>0.5</v>
      </c>
      <c r="F112" s="7" t="n">
        <v>3</v>
      </c>
      <c r="G112" s="8" t="n"/>
      <c r="H112" s="27" t="n"/>
      <c r="I112" s="27" t="n"/>
      <c r="J112" s="8" t="n"/>
      <c r="K112" s="8" t="n"/>
      <c r="L112" s="10" t="n"/>
      <c r="M112" s="8" t="n"/>
      <c r="N112" s="11">
        <f>IF(OR(J112="",H112="",I112=""),"",J112/((I112-H112)*1440))</f>
        <v/>
      </c>
      <c r="O112" s="7" t="n"/>
      <c r="P112" s="7" t="n"/>
      <c r="Q112" s="7" t="n"/>
      <c r="R112" s="12" t="n"/>
      <c r="S112" s="13">
        <f>IF(OR(R112="",J112=""),"",R112/J112-1)</f>
        <v/>
      </c>
      <c r="T112" s="14">
        <f>IF(OR(L112="",R112="",J112=""),"",SQRT(4+(L112^2-4)*(R112/J112)^2))</f>
        <v/>
      </c>
      <c r="U112" s="7" t="n"/>
      <c r="V112" s="7" t="n"/>
    </row>
    <row r="113">
      <c r="A113" s="7" t="inlineStr">
        <is>
          <t>B-3/8-1-i1</t>
        </is>
      </c>
      <c r="B113" s="7" t="inlineStr">
        <is>
          <t>3/8</t>
        </is>
      </c>
      <c r="C113" s="7" t="inlineStr">
        <is>
          <t>B</t>
        </is>
      </c>
      <c r="D113" s="7" t="inlineStr">
        <is>
          <t>B (.815)</t>
        </is>
      </c>
      <c r="E113" s="7" t="n">
        <v>1</v>
      </c>
      <c r="F113" s="7" t="n">
        <v>1</v>
      </c>
      <c r="G113" s="8" t="n"/>
      <c r="H113" s="27" t="n"/>
      <c r="I113" s="27" t="n"/>
      <c r="J113" s="8" t="n"/>
      <c r="K113" s="8" t="n"/>
      <c r="L113" s="10" t="n"/>
      <c r="M113" s="8" t="n"/>
      <c r="N113" s="11">
        <f>IF(OR(J113="",H113="",I113=""),"",J113/((I113-H113)*1440))</f>
        <v/>
      </c>
      <c r="O113" s="7" t="n"/>
      <c r="P113" s="7" t="n"/>
      <c r="Q113" s="7" t="n"/>
      <c r="R113" s="12" t="n"/>
      <c r="S113" s="13">
        <f>IF(OR(R113="",J113=""),"",R113/J113-1)</f>
        <v/>
      </c>
      <c r="T113" s="14">
        <f>IF(OR(L113="",R113="",J113=""),"",SQRT(4+(L113^2-4)*(R113/J113)^2))</f>
        <v/>
      </c>
      <c r="U113" s="7" t="n"/>
      <c r="V113" s="7" t="n"/>
    </row>
    <row r="114">
      <c r="A114" s="7" t="inlineStr">
        <is>
          <t>B-3/8-1-i2</t>
        </is>
      </c>
      <c r="B114" s="7" t="inlineStr">
        <is>
          <t>3/8</t>
        </is>
      </c>
      <c r="C114" s="7" t="inlineStr">
        <is>
          <t>B</t>
        </is>
      </c>
      <c r="D114" s="7" t="inlineStr">
        <is>
          <t>B (.815)</t>
        </is>
      </c>
      <c r="E114" s="7" t="n">
        <v>1</v>
      </c>
      <c r="F114" s="7" t="n">
        <v>2</v>
      </c>
      <c r="G114" s="8" t="n"/>
      <c r="H114" s="27" t="n"/>
      <c r="I114" s="27" t="n"/>
      <c r="J114" s="8" t="n"/>
      <c r="K114" s="8" t="n"/>
      <c r="L114" s="10" t="n"/>
      <c r="M114" s="8" t="n"/>
      <c r="N114" s="11">
        <f>IF(OR(J114="",H114="",I114=""),"",J114/((I114-H114)*1440))</f>
        <v/>
      </c>
      <c r="O114" s="7" t="n"/>
      <c r="P114" s="7" t="n"/>
      <c r="Q114" s="7" t="n"/>
      <c r="R114" s="12" t="n"/>
      <c r="S114" s="13">
        <f>IF(OR(R114="",J114=""),"",R114/J114-1)</f>
        <v/>
      </c>
      <c r="T114" s="14">
        <f>IF(OR(L114="",R114="",J114=""),"",SQRT(4+(L114^2-4)*(R114/J114)^2))</f>
        <v/>
      </c>
      <c r="U114" s="7" t="n"/>
      <c r="V114" s="7" t="n"/>
    </row>
    <row r="115">
      <c r="A115" s="7" t="inlineStr">
        <is>
          <t>B-3/8-1-i3</t>
        </is>
      </c>
      <c r="B115" s="7" t="inlineStr">
        <is>
          <t>3/8</t>
        </is>
      </c>
      <c r="C115" s="7" t="inlineStr">
        <is>
          <t>B</t>
        </is>
      </c>
      <c r="D115" s="7" t="inlineStr">
        <is>
          <t>B (.815)</t>
        </is>
      </c>
      <c r="E115" s="7" t="n">
        <v>1</v>
      </c>
      <c r="F115" s="7" t="n">
        <v>3</v>
      </c>
      <c r="G115" s="8" t="n"/>
      <c r="H115" s="27" t="n"/>
      <c r="I115" s="27" t="n"/>
      <c r="J115" s="8" t="n"/>
      <c r="K115" s="8" t="n"/>
      <c r="L115" s="10" t="n"/>
      <c r="M115" s="8" t="n"/>
      <c r="N115" s="11">
        <f>IF(OR(J115="",H115="",I115=""),"",J115/((I115-H115)*1440))</f>
        <v/>
      </c>
      <c r="O115" s="7" t="n"/>
      <c r="P115" s="7" t="n"/>
      <c r="Q115" s="7" t="n"/>
      <c r="R115" s="12" t="n"/>
      <c r="S115" s="13">
        <f>IF(OR(R115="",J115=""),"",R115/J115-1)</f>
        <v/>
      </c>
      <c r="T115" s="14">
        <f>IF(OR(L115="",R115="",J115=""),"",SQRT(4+(L115^2-4)*(R115/J115)^2))</f>
        <v/>
      </c>
      <c r="U115" s="7" t="n"/>
      <c r="V115" s="7" t="n"/>
    </row>
    <row r="116">
      <c r="A116" s="7" t="inlineStr">
        <is>
          <t>B-3/8-3-i1</t>
        </is>
      </c>
      <c r="B116" s="7" t="inlineStr">
        <is>
          <t>3/8</t>
        </is>
      </c>
      <c r="C116" s="7" t="inlineStr">
        <is>
          <t>B</t>
        </is>
      </c>
      <c r="D116" s="7" t="inlineStr">
        <is>
          <t>B (.815)</t>
        </is>
      </c>
      <c r="E116" s="7" t="n">
        <v>3</v>
      </c>
      <c r="F116" s="7" t="n">
        <v>1</v>
      </c>
      <c r="G116" s="8" t="n"/>
      <c r="H116" s="27" t="n"/>
      <c r="I116" s="27" t="n"/>
      <c r="J116" s="8" t="n"/>
      <c r="K116" s="8" t="n"/>
      <c r="L116" s="10" t="n"/>
      <c r="M116" s="8" t="n"/>
      <c r="N116" s="11">
        <f>IF(OR(J116="",H116="",I116=""),"",J116/((I116-H116)*1440))</f>
        <v/>
      </c>
      <c r="O116" s="7" t="n"/>
      <c r="P116" s="7" t="n"/>
      <c r="Q116" s="7" t="n"/>
      <c r="R116" s="12" t="n"/>
      <c r="S116" s="13">
        <f>IF(OR(R116="",J116=""),"",R116/J116-1)</f>
        <v/>
      </c>
      <c r="T116" s="14">
        <f>IF(OR(L116="",R116="",J116=""),"",SQRT(4+(L116^2-4)*(R116/J116)^2))</f>
        <v/>
      </c>
      <c r="U116" s="7" t="n"/>
      <c r="V116" s="7" t="n"/>
    </row>
    <row r="117">
      <c r="A117" s="7" t="inlineStr">
        <is>
          <t>B-3/8-3-i2</t>
        </is>
      </c>
      <c r="B117" s="7" t="inlineStr">
        <is>
          <t>3/8</t>
        </is>
      </c>
      <c r="C117" s="7" t="inlineStr">
        <is>
          <t>B</t>
        </is>
      </c>
      <c r="D117" s="7" t="inlineStr">
        <is>
          <t>B (.815)</t>
        </is>
      </c>
      <c r="E117" s="7" t="n">
        <v>3</v>
      </c>
      <c r="F117" s="7" t="n">
        <v>2</v>
      </c>
      <c r="G117" s="8" t="n"/>
      <c r="H117" s="27" t="n"/>
      <c r="I117" s="27" t="n"/>
      <c r="J117" s="8" t="n"/>
      <c r="K117" s="8" t="n"/>
      <c r="L117" s="10" t="n"/>
      <c r="M117" s="8" t="n"/>
      <c r="N117" s="11">
        <f>IF(OR(J117="",H117="",I117=""),"",J117/((I117-H117)*1440))</f>
        <v/>
      </c>
      <c r="O117" s="7" t="n"/>
      <c r="P117" s="7" t="n"/>
      <c r="Q117" s="7" t="n"/>
      <c r="R117" s="12" t="n"/>
      <c r="S117" s="13">
        <f>IF(OR(R117="",J117=""),"",R117/J117-1)</f>
        <v/>
      </c>
      <c r="T117" s="14">
        <f>IF(OR(L117="",R117="",J117=""),"",SQRT(4+(L117^2-4)*(R117/J117)^2))</f>
        <v/>
      </c>
      <c r="U117" s="7" t="n"/>
      <c r="V117" s="7" t="n"/>
    </row>
    <row r="118">
      <c r="A118" s="7" t="inlineStr">
        <is>
          <t>B-3/8-3-i3</t>
        </is>
      </c>
      <c r="B118" s="7" t="inlineStr">
        <is>
          <t>3/8</t>
        </is>
      </c>
      <c r="C118" s="7" t="inlineStr">
        <is>
          <t>B</t>
        </is>
      </c>
      <c r="D118" s="7" t="inlineStr">
        <is>
          <t>B (.815)</t>
        </is>
      </c>
      <c r="E118" s="7" t="n">
        <v>3</v>
      </c>
      <c r="F118" s="7" t="n">
        <v>3</v>
      </c>
      <c r="G118" s="8" t="n"/>
      <c r="H118" s="27" t="n"/>
      <c r="I118" s="27" t="n"/>
      <c r="J118" s="8" t="n"/>
      <c r="K118" s="8" t="n"/>
      <c r="L118" s="10" t="n"/>
      <c r="M118" s="8" t="n"/>
      <c r="N118" s="11">
        <f>IF(OR(J118="",H118="",I118=""),"",J118/((I118-H118)*1440))</f>
        <v/>
      </c>
      <c r="O118" s="7" t="n"/>
      <c r="P118" s="7" t="n"/>
      <c r="Q118" s="7" t="n"/>
      <c r="R118" s="12" t="n"/>
      <c r="S118" s="13">
        <f>IF(OR(R118="",J118=""),"",R118/J118-1)</f>
        <v/>
      </c>
      <c r="T118" s="14">
        <f>IF(OR(L118="",R118="",J118=""),"",SQRT(4+(L118^2-4)*(R118/J118)^2))</f>
        <v/>
      </c>
      <c r="U118" s="7" t="n"/>
      <c r="V118" s="7" t="n"/>
    </row>
    <row r="119">
      <c r="A119" s="7" t="inlineStr">
        <is>
          <t>B-3/8-5-i1</t>
        </is>
      </c>
      <c r="B119" s="7" t="inlineStr">
        <is>
          <t>3/8</t>
        </is>
      </c>
      <c r="C119" s="7" t="inlineStr">
        <is>
          <t>B</t>
        </is>
      </c>
      <c r="D119" s="7" t="inlineStr">
        <is>
          <t>B (.815)</t>
        </is>
      </c>
      <c r="E119" s="7" t="n">
        <v>5</v>
      </c>
      <c r="F119" s="7" t="n">
        <v>1</v>
      </c>
      <c r="G119" s="8" t="n"/>
      <c r="H119" s="27" t="n"/>
      <c r="I119" s="27" t="n"/>
      <c r="J119" s="8" t="n"/>
      <c r="K119" s="8" t="n"/>
      <c r="L119" s="10" t="n"/>
      <c r="M119" s="8" t="n"/>
      <c r="N119" s="11">
        <f>IF(OR(J119="",H119="",I119=""),"",J119/((I119-H119)*1440))</f>
        <v/>
      </c>
      <c r="O119" s="7" t="n"/>
      <c r="P119" s="7" t="n"/>
      <c r="Q119" s="7" t="n"/>
      <c r="R119" s="12" t="n"/>
      <c r="S119" s="13">
        <f>IF(OR(R119="",J119=""),"",R119/J119-1)</f>
        <v/>
      </c>
      <c r="T119" s="14">
        <f>IF(OR(L119="",R119="",J119=""),"",SQRT(4+(L119^2-4)*(R119/J119)^2))</f>
        <v/>
      </c>
      <c r="U119" s="7" t="n"/>
      <c r="V119" s="7" t="n"/>
    </row>
    <row r="120">
      <c r="A120" s="7" t="inlineStr">
        <is>
          <t>B-3/8-5-i2</t>
        </is>
      </c>
      <c r="B120" s="7" t="inlineStr">
        <is>
          <t>3/8</t>
        </is>
      </c>
      <c r="C120" s="7" t="inlineStr">
        <is>
          <t>B</t>
        </is>
      </c>
      <c r="D120" s="7" t="inlineStr">
        <is>
          <t>B (.815)</t>
        </is>
      </c>
      <c r="E120" s="7" t="n">
        <v>5</v>
      </c>
      <c r="F120" s="7" t="n">
        <v>2</v>
      </c>
      <c r="G120" s="8" t="n"/>
      <c r="H120" s="27" t="n"/>
      <c r="I120" s="27" t="n"/>
      <c r="J120" s="8" t="n"/>
      <c r="K120" s="8" t="n"/>
      <c r="L120" s="10" t="n"/>
      <c r="M120" s="8" t="n"/>
      <c r="N120" s="11">
        <f>IF(OR(J120="",H120="",I120=""),"",J120/((I120-H120)*1440))</f>
        <v/>
      </c>
      <c r="O120" s="7" t="n"/>
      <c r="P120" s="7" t="n"/>
      <c r="Q120" s="7" t="n"/>
      <c r="R120" s="12" t="n"/>
      <c r="S120" s="13">
        <f>IF(OR(R120="",J120=""),"",R120/J120-1)</f>
        <v/>
      </c>
      <c r="T120" s="14">
        <f>IF(OR(L120="",R120="",J120=""),"",SQRT(4+(L120^2-4)*(R120/J120)^2))</f>
        <v/>
      </c>
      <c r="U120" s="7" t="n"/>
      <c r="V120" s="7" t="n"/>
    </row>
    <row r="121">
      <c r="A121" s="7" t="inlineStr">
        <is>
          <t>B-3/8-5-i3</t>
        </is>
      </c>
      <c r="B121" s="7" t="inlineStr">
        <is>
          <t>3/8</t>
        </is>
      </c>
      <c r="C121" s="7" t="inlineStr">
        <is>
          <t>B</t>
        </is>
      </c>
      <c r="D121" s="7" t="inlineStr">
        <is>
          <t>B (.815)</t>
        </is>
      </c>
      <c r="E121" s="7" t="n">
        <v>5</v>
      </c>
      <c r="F121" s="7" t="n">
        <v>3</v>
      </c>
      <c r="G121" s="8" t="n"/>
      <c r="H121" s="27" t="n"/>
      <c r="I121" s="27" t="n"/>
      <c r="J121" s="8" t="n"/>
      <c r="K121" s="8" t="n"/>
      <c r="L121" s="10" t="n"/>
      <c r="M121" s="8" t="n"/>
      <c r="N121" s="11">
        <f>IF(OR(J121="",H121="",I121=""),"",J121/((I121-H121)*1440))</f>
        <v/>
      </c>
      <c r="O121" s="7" t="n"/>
      <c r="P121" s="7" t="n"/>
      <c r="Q121" s="7" t="n"/>
      <c r="R121" s="12" t="n"/>
      <c r="S121" s="13">
        <f>IF(OR(R121="",J121=""),"",R121/J121-1)</f>
        <v/>
      </c>
      <c r="T121" s="14">
        <f>IF(OR(L121="",R121="",J121=""),"",SQRT(4+(L121^2-4)*(R121/J121)^2))</f>
        <v/>
      </c>
      <c r="U121" s="7" t="n"/>
      <c r="V121" s="7" t="n"/>
    </row>
    <row r="122">
      <c r="A122" s="7" t="inlineStr">
        <is>
          <t>B-3/8-10-i1</t>
        </is>
      </c>
      <c r="B122" s="7" t="inlineStr">
        <is>
          <t>3/8</t>
        </is>
      </c>
      <c r="C122" s="7" t="inlineStr">
        <is>
          <t>B</t>
        </is>
      </c>
      <c r="D122" s="7" t="inlineStr">
        <is>
          <t>B (.815)</t>
        </is>
      </c>
      <c r="E122" s="7" t="n">
        <v>10</v>
      </c>
      <c r="F122" s="7" t="n">
        <v>1</v>
      </c>
      <c r="G122" s="8" t="n"/>
      <c r="H122" s="27" t="n"/>
      <c r="I122" s="27" t="n"/>
      <c r="J122" s="8" t="n"/>
      <c r="K122" s="8" t="n"/>
      <c r="L122" s="10" t="n"/>
      <c r="M122" s="8" t="n"/>
      <c r="N122" s="11">
        <f>IF(OR(J122="",H122="",I122=""),"",J122/((I122-H122)*1440))</f>
        <v/>
      </c>
      <c r="O122" s="7" t="n"/>
      <c r="P122" s="7" t="n"/>
      <c r="Q122" s="7" t="n"/>
      <c r="R122" s="12" t="n"/>
      <c r="S122" s="13">
        <f>IF(OR(R122="",J122=""),"",R122/J122-1)</f>
        <v/>
      </c>
      <c r="T122" s="14">
        <f>IF(OR(L122="",R122="",J122=""),"",SQRT(4+(L122^2-4)*(R122/J122)^2))</f>
        <v/>
      </c>
      <c r="U122" s="7" t="n"/>
      <c r="V122" s="7" t="n"/>
    </row>
    <row r="123">
      <c r="A123" s="7" t="inlineStr">
        <is>
          <t>B-3/8-10-i2</t>
        </is>
      </c>
      <c r="B123" s="7" t="inlineStr">
        <is>
          <t>3/8</t>
        </is>
      </c>
      <c r="C123" s="7" t="inlineStr">
        <is>
          <t>B</t>
        </is>
      </c>
      <c r="D123" s="7" t="inlineStr">
        <is>
          <t>B (.815)</t>
        </is>
      </c>
      <c r="E123" s="7" t="n">
        <v>10</v>
      </c>
      <c r="F123" s="7" t="n">
        <v>2</v>
      </c>
      <c r="G123" s="8" t="n"/>
      <c r="H123" s="27" t="n"/>
      <c r="I123" s="27" t="n"/>
      <c r="J123" s="8" t="n"/>
      <c r="K123" s="8" t="n"/>
      <c r="L123" s="10" t="n"/>
      <c r="M123" s="8" t="n"/>
      <c r="N123" s="11">
        <f>IF(OR(J123="",H123="",I123=""),"",J123/((I123-H123)*1440))</f>
        <v/>
      </c>
      <c r="O123" s="7" t="n"/>
      <c r="P123" s="7" t="n"/>
      <c r="Q123" s="7" t="n"/>
      <c r="R123" s="12" t="n"/>
      <c r="S123" s="13">
        <f>IF(OR(R123="",J123=""),"",R123/J123-1)</f>
        <v/>
      </c>
      <c r="T123" s="14">
        <f>IF(OR(L123="",R123="",J123=""),"",SQRT(4+(L123^2-4)*(R123/J123)^2))</f>
        <v/>
      </c>
      <c r="U123" s="7" t="n"/>
      <c r="V123" s="7" t="n"/>
    </row>
    <row r="124">
      <c r="A124" s="7" t="inlineStr">
        <is>
          <t>B-3/8-10-i3</t>
        </is>
      </c>
      <c r="B124" s="7" t="inlineStr">
        <is>
          <t>3/8</t>
        </is>
      </c>
      <c r="C124" s="7" t="inlineStr">
        <is>
          <t>B</t>
        </is>
      </c>
      <c r="D124" s="7" t="inlineStr">
        <is>
          <t>B (.815)</t>
        </is>
      </c>
      <c r="E124" s="7" t="n">
        <v>10</v>
      </c>
      <c r="F124" s="7" t="n">
        <v>3</v>
      </c>
      <c r="G124" s="8" t="n"/>
      <c r="H124" s="27" t="n"/>
      <c r="I124" s="27" t="n"/>
      <c r="J124" s="8" t="n"/>
      <c r="K124" s="8" t="n"/>
      <c r="L124" s="10" t="n"/>
      <c r="M124" s="8" t="n"/>
      <c r="N124" s="11">
        <f>IF(OR(J124="",H124="",I124=""),"",J124/((I124-H124)*1440))</f>
        <v/>
      </c>
      <c r="O124" s="7" t="n"/>
      <c r="P124" s="7" t="n"/>
      <c r="Q124" s="7" t="n"/>
      <c r="R124" s="12" t="n"/>
      <c r="S124" s="13">
        <f>IF(OR(R124="",J124=""),"",R124/J124-1)</f>
        <v/>
      </c>
      <c r="T124" s="14">
        <f>IF(OR(L124="",R124="",J124=""),"",SQRT(4+(L124^2-4)*(R124/J124)^2))</f>
        <v/>
      </c>
      <c r="U124" s="7" t="n"/>
      <c r="V124" s="7" t="n"/>
    </row>
    <row r="125">
      <c r="A125" s="7" t="inlineStr">
        <is>
          <t>b-3/8-0.5-i1</t>
        </is>
      </c>
      <c r="B125" s="7" t="inlineStr">
        <is>
          <t>3/8</t>
        </is>
      </c>
      <c r="C125" s="7" t="inlineStr">
        <is>
          <t>b</t>
        </is>
      </c>
      <c r="D125" s="7" t="inlineStr">
        <is>
          <t>b (.825)</t>
        </is>
      </c>
      <c r="E125" s="7" t="n">
        <v>0.5</v>
      </c>
      <c r="F125" s="7" t="n">
        <v>1</v>
      </c>
      <c r="G125" s="8" t="n"/>
      <c r="H125" s="27" t="n"/>
      <c r="I125" s="27" t="n"/>
      <c r="J125" s="8" t="n"/>
      <c r="K125" s="8" t="n"/>
      <c r="L125" s="10" t="n"/>
      <c r="M125" s="8" t="n"/>
      <c r="N125" s="11">
        <f>IF(OR(J125="",H125="",I125=""),"",J125/((I125-H125)*1440))</f>
        <v/>
      </c>
      <c r="O125" s="7" t="n"/>
      <c r="P125" s="7" t="n"/>
      <c r="Q125" s="7" t="n"/>
      <c r="R125" s="12" t="n"/>
      <c r="S125" s="13">
        <f>IF(OR(R125="",J125=""),"",R125/J125-1)</f>
        <v/>
      </c>
      <c r="T125" s="14">
        <f>IF(OR(L125="",R125="",J125=""),"",SQRT(4+(L125^2-4)*(R125/J125)^2))</f>
        <v/>
      </c>
      <c r="U125" s="7" t="n"/>
      <c r="V125" s="7" t="n"/>
    </row>
    <row r="126">
      <c r="A126" s="7" t="inlineStr">
        <is>
          <t>b-3/8-0.5-i2</t>
        </is>
      </c>
      <c r="B126" s="7" t="inlineStr">
        <is>
          <t>3/8</t>
        </is>
      </c>
      <c r="C126" s="7" t="inlineStr">
        <is>
          <t>b</t>
        </is>
      </c>
      <c r="D126" s="7" t="inlineStr">
        <is>
          <t>b (.825)</t>
        </is>
      </c>
      <c r="E126" s="7" t="n">
        <v>0.5</v>
      </c>
      <c r="F126" s="7" t="n">
        <v>2</v>
      </c>
      <c r="G126" s="8" t="n"/>
      <c r="H126" s="27" t="n"/>
      <c r="I126" s="27" t="n"/>
      <c r="J126" s="8" t="n"/>
      <c r="K126" s="8" t="n"/>
      <c r="L126" s="10" t="n"/>
      <c r="M126" s="8" t="n"/>
      <c r="N126" s="11">
        <f>IF(OR(J126="",H126="",I126=""),"",J126/((I126-H126)*1440))</f>
        <v/>
      </c>
      <c r="O126" s="7" t="n"/>
      <c r="P126" s="7" t="n"/>
      <c r="Q126" s="7" t="n"/>
      <c r="R126" s="12" t="n"/>
      <c r="S126" s="13">
        <f>IF(OR(R126="",J126=""),"",R126/J126-1)</f>
        <v/>
      </c>
      <c r="T126" s="14">
        <f>IF(OR(L126="",R126="",J126=""),"",SQRT(4+(L126^2-4)*(R126/J126)^2))</f>
        <v/>
      </c>
      <c r="U126" s="7" t="n"/>
      <c r="V126" s="7" t="n"/>
    </row>
    <row r="127">
      <c r="A127" s="7" t="inlineStr">
        <is>
          <t>b-3/8-0.5-i3</t>
        </is>
      </c>
      <c r="B127" s="7" t="inlineStr">
        <is>
          <t>3/8</t>
        </is>
      </c>
      <c r="C127" s="7" t="inlineStr">
        <is>
          <t>b</t>
        </is>
      </c>
      <c r="D127" s="7" t="inlineStr">
        <is>
          <t>b (.825)</t>
        </is>
      </c>
      <c r="E127" s="7" t="n">
        <v>0.5</v>
      </c>
      <c r="F127" s="7" t="n">
        <v>3</v>
      </c>
      <c r="G127" s="8" t="n"/>
      <c r="H127" s="27" t="n"/>
      <c r="I127" s="27" t="n"/>
      <c r="J127" s="8" t="n"/>
      <c r="K127" s="8" t="n"/>
      <c r="L127" s="10" t="n"/>
      <c r="M127" s="8" t="n"/>
      <c r="N127" s="11">
        <f>IF(OR(J127="",H127="",I127=""),"",J127/((I127-H127)*1440))</f>
        <v/>
      </c>
      <c r="O127" s="7" t="n"/>
      <c r="P127" s="7" t="n"/>
      <c r="Q127" s="7" t="n"/>
      <c r="R127" s="12" t="n"/>
      <c r="S127" s="13">
        <f>IF(OR(R127="",J127=""),"",R127/J127-1)</f>
        <v/>
      </c>
      <c r="T127" s="14">
        <f>IF(OR(L127="",R127="",J127=""),"",SQRT(4+(L127^2-4)*(R127/J127)^2))</f>
        <v/>
      </c>
      <c r="U127" s="7" t="n"/>
      <c r="V127" s="7" t="n"/>
    </row>
    <row r="128">
      <c r="A128" s="7" t="inlineStr">
        <is>
          <t>b-3/8-1-i1</t>
        </is>
      </c>
      <c r="B128" s="7" t="inlineStr">
        <is>
          <t>3/8</t>
        </is>
      </c>
      <c r="C128" s="7" t="inlineStr">
        <is>
          <t>b</t>
        </is>
      </c>
      <c r="D128" s="7" t="inlineStr">
        <is>
          <t>b (.825)</t>
        </is>
      </c>
      <c r="E128" s="7" t="n">
        <v>1</v>
      </c>
      <c r="F128" s="7" t="n">
        <v>1</v>
      </c>
      <c r="G128" s="8" t="n"/>
      <c r="H128" s="27" t="n"/>
      <c r="I128" s="27" t="n"/>
      <c r="J128" s="8" t="n"/>
      <c r="K128" s="8" t="n"/>
      <c r="L128" s="10" t="n"/>
      <c r="M128" s="8" t="n"/>
      <c r="N128" s="11">
        <f>IF(OR(J128="",H128="",I128=""),"",J128/((I128-H128)*1440))</f>
        <v/>
      </c>
      <c r="O128" s="7" t="n"/>
      <c r="P128" s="7" t="n"/>
      <c r="Q128" s="7" t="n"/>
      <c r="R128" s="12" t="n"/>
      <c r="S128" s="13">
        <f>IF(OR(R128="",J128=""),"",R128/J128-1)</f>
        <v/>
      </c>
      <c r="T128" s="14">
        <f>IF(OR(L128="",R128="",J128=""),"",SQRT(4+(L128^2-4)*(R128/J128)^2))</f>
        <v/>
      </c>
      <c r="U128" s="7" t="n"/>
      <c r="V128" s="7" t="n"/>
    </row>
    <row r="129">
      <c r="A129" s="7" t="inlineStr">
        <is>
          <t>b-3/8-1-i2</t>
        </is>
      </c>
      <c r="B129" s="7" t="inlineStr">
        <is>
          <t>3/8</t>
        </is>
      </c>
      <c r="C129" s="7" t="inlineStr">
        <is>
          <t>b</t>
        </is>
      </c>
      <c r="D129" s="7" t="inlineStr">
        <is>
          <t>b (.825)</t>
        </is>
      </c>
      <c r="E129" s="7" t="n">
        <v>1</v>
      </c>
      <c r="F129" s="7" t="n">
        <v>2</v>
      </c>
      <c r="G129" s="8" t="n"/>
      <c r="H129" s="27" t="n"/>
      <c r="I129" s="27" t="n"/>
      <c r="J129" s="8" t="n"/>
      <c r="K129" s="8" t="n"/>
      <c r="L129" s="10" t="n"/>
      <c r="M129" s="8" t="n"/>
      <c r="N129" s="11">
        <f>IF(OR(J129="",H129="",I129=""),"",J129/((I129-H129)*1440))</f>
        <v/>
      </c>
      <c r="O129" s="7" t="n"/>
      <c r="P129" s="7" t="n"/>
      <c r="Q129" s="7" t="n"/>
      <c r="R129" s="12" t="n"/>
      <c r="S129" s="13">
        <f>IF(OR(R129="",J129=""),"",R129/J129-1)</f>
        <v/>
      </c>
      <c r="T129" s="14">
        <f>IF(OR(L129="",R129="",J129=""),"",SQRT(4+(L129^2-4)*(R129/J129)^2))</f>
        <v/>
      </c>
      <c r="U129" s="7" t="n"/>
      <c r="V129" s="7" t="n"/>
    </row>
    <row r="130">
      <c r="A130" s="7" t="inlineStr">
        <is>
          <t>b-3/8-1-i3</t>
        </is>
      </c>
      <c r="B130" s="7" t="inlineStr">
        <is>
          <t>3/8</t>
        </is>
      </c>
      <c r="C130" s="7" t="inlineStr">
        <is>
          <t>b</t>
        </is>
      </c>
      <c r="D130" s="7" t="inlineStr">
        <is>
          <t>b (.825)</t>
        </is>
      </c>
      <c r="E130" s="7" t="n">
        <v>1</v>
      </c>
      <c r="F130" s="7" t="n">
        <v>3</v>
      </c>
      <c r="G130" s="8" t="n"/>
      <c r="H130" s="27" t="n"/>
      <c r="I130" s="27" t="n"/>
      <c r="J130" s="8" t="n"/>
      <c r="K130" s="8" t="n"/>
      <c r="L130" s="10" t="n"/>
      <c r="M130" s="8" t="n"/>
      <c r="N130" s="11">
        <f>IF(OR(J130="",H130="",I130=""),"",J130/((I130-H130)*1440))</f>
        <v/>
      </c>
      <c r="O130" s="7" t="n"/>
      <c r="P130" s="7" t="n"/>
      <c r="Q130" s="7" t="n"/>
      <c r="R130" s="12" t="n"/>
      <c r="S130" s="13">
        <f>IF(OR(R130="",J130=""),"",R130/J130-1)</f>
        <v/>
      </c>
      <c r="T130" s="14">
        <f>IF(OR(L130="",R130="",J130=""),"",SQRT(4+(L130^2-4)*(R130/J130)^2))</f>
        <v/>
      </c>
      <c r="U130" s="7" t="n"/>
      <c r="V130" s="7" t="n"/>
    </row>
    <row r="131">
      <c r="A131" s="7" t="inlineStr">
        <is>
          <t>b-3/8-3-i1</t>
        </is>
      </c>
      <c r="B131" s="7" t="inlineStr">
        <is>
          <t>3/8</t>
        </is>
      </c>
      <c r="C131" s="7" t="inlineStr">
        <is>
          <t>b</t>
        </is>
      </c>
      <c r="D131" s="7" t="inlineStr">
        <is>
          <t>b (.825)</t>
        </is>
      </c>
      <c r="E131" s="7" t="n">
        <v>3</v>
      </c>
      <c r="F131" s="7" t="n">
        <v>1</v>
      </c>
      <c r="G131" s="8" t="n"/>
      <c r="H131" s="27" t="n"/>
      <c r="I131" s="27" t="n"/>
      <c r="J131" s="8" t="n"/>
      <c r="K131" s="8" t="n"/>
      <c r="L131" s="10" t="n"/>
      <c r="M131" s="8" t="n"/>
      <c r="N131" s="11">
        <f>IF(OR(J131="",H131="",I131=""),"",J131/((I131-H131)*1440))</f>
        <v/>
      </c>
      <c r="O131" s="7" t="n"/>
      <c r="P131" s="7" t="n"/>
      <c r="Q131" s="7" t="n"/>
      <c r="R131" s="12" t="n"/>
      <c r="S131" s="13">
        <f>IF(OR(R131="",J131=""),"",R131/J131-1)</f>
        <v/>
      </c>
      <c r="T131" s="14">
        <f>IF(OR(L131="",R131="",J131=""),"",SQRT(4+(L131^2-4)*(R131/J131)^2))</f>
        <v/>
      </c>
      <c r="U131" s="7" t="n"/>
      <c r="V131" s="7" t="n"/>
    </row>
    <row r="132">
      <c r="A132" s="7" t="inlineStr">
        <is>
          <t>b-3/8-3-i2</t>
        </is>
      </c>
      <c r="B132" s="7" t="inlineStr">
        <is>
          <t>3/8</t>
        </is>
      </c>
      <c r="C132" s="7" t="inlineStr">
        <is>
          <t>b</t>
        </is>
      </c>
      <c r="D132" s="7" t="inlineStr">
        <is>
          <t>b (.825)</t>
        </is>
      </c>
      <c r="E132" s="7" t="n">
        <v>3</v>
      </c>
      <c r="F132" s="7" t="n">
        <v>2</v>
      </c>
      <c r="G132" s="8" t="n"/>
      <c r="H132" s="27" t="n"/>
      <c r="I132" s="27" t="n"/>
      <c r="J132" s="8" t="n"/>
      <c r="K132" s="8" t="n"/>
      <c r="L132" s="10" t="n"/>
      <c r="M132" s="8" t="n"/>
      <c r="N132" s="11">
        <f>IF(OR(J132="",H132="",I132=""),"",J132/((I132-H132)*1440))</f>
        <v/>
      </c>
      <c r="O132" s="7" t="n"/>
      <c r="P132" s="7" t="n"/>
      <c r="Q132" s="7" t="n"/>
      <c r="R132" s="12" t="n"/>
      <c r="S132" s="13">
        <f>IF(OR(R132="",J132=""),"",R132/J132-1)</f>
        <v/>
      </c>
      <c r="T132" s="14">
        <f>IF(OR(L132="",R132="",J132=""),"",SQRT(4+(L132^2-4)*(R132/J132)^2))</f>
        <v/>
      </c>
      <c r="U132" s="7" t="n"/>
      <c r="V132" s="7" t="n"/>
    </row>
    <row r="133">
      <c r="A133" s="7" t="inlineStr">
        <is>
          <t>b-3/8-3-i3</t>
        </is>
      </c>
      <c r="B133" s="7" t="inlineStr">
        <is>
          <t>3/8</t>
        </is>
      </c>
      <c r="C133" s="7" t="inlineStr">
        <is>
          <t>b</t>
        </is>
      </c>
      <c r="D133" s="7" t="inlineStr">
        <is>
          <t>b (.825)</t>
        </is>
      </c>
      <c r="E133" s="7" t="n">
        <v>3</v>
      </c>
      <c r="F133" s="7" t="n">
        <v>3</v>
      </c>
      <c r="G133" s="8" t="n"/>
      <c r="H133" s="27" t="n"/>
      <c r="I133" s="27" t="n"/>
      <c r="J133" s="8" t="n"/>
      <c r="K133" s="8" t="n"/>
      <c r="L133" s="10" t="n"/>
      <c r="M133" s="8" t="n"/>
      <c r="N133" s="11">
        <f>IF(OR(J133="",H133="",I133=""),"",J133/((I133-H133)*1440))</f>
        <v/>
      </c>
      <c r="O133" s="7" t="n"/>
      <c r="P133" s="7" t="n"/>
      <c r="Q133" s="7" t="n"/>
      <c r="R133" s="12" t="n"/>
      <c r="S133" s="13">
        <f>IF(OR(R133="",J133=""),"",R133/J133-1)</f>
        <v/>
      </c>
      <c r="T133" s="14">
        <f>IF(OR(L133="",R133="",J133=""),"",SQRT(4+(L133^2-4)*(R133/J133)^2))</f>
        <v/>
      </c>
      <c r="U133" s="7" t="n"/>
      <c r="V133" s="7" t="n"/>
    </row>
    <row r="134">
      <c r="A134" s="7" t="inlineStr">
        <is>
          <t>b-3/8-5-i1</t>
        </is>
      </c>
      <c r="B134" s="7" t="inlineStr">
        <is>
          <t>3/8</t>
        </is>
      </c>
      <c r="C134" s="7" t="inlineStr">
        <is>
          <t>b</t>
        </is>
      </c>
      <c r="D134" s="7" t="inlineStr">
        <is>
          <t>b (.825)</t>
        </is>
      </c>
      <c r="E134" s="7" t="n">
        <v>5</v>
      </c>
      <c r="F134" s="7" t="n">
        <v>1</v>
      </c>
      <c r="G134" s="8" t="n"/>
      <c r="H134" s="27" t="n"/>
      <c r="I134" s="27" t="n"/>
      <c r="J134" s="8" t="n"/>
      <c r="K134" s="8" t="n"/>
      <c r="L134" s="10" t="n"/>
      <c r="M134" s="8" t="n"/>
      <c r="N134" s="11">
        <f>IF(OR(J134="",H134="",I134=""),"",J134/((I134-H134)*1440))</f>
        <v/>
      </c>
      <c r="O134" s="7" t="n"/>
      <c r="P134" s="7" t="n"/>
      <c r="Q134" s="7" t="n"/>
      <c r="R134" s="12" t="n"/>
      <c r="S134" s="13">
        <f>IF(OR(R134="",J134=""),"",R134/J134-1)</f>
        <v/>
      </c>
      <c r="T134" s="14">
        <f>IF(OR(L134="",R134="",J134=""),"",SQRT(4+(L134^2-4)*(R134/J134)^2))</f>
        <v/>
      </c>
      <c r="U134" s="7" t="n"/>
      <c r="V134" s="7" t="n"/>
    </row>
    <row r="135">
      <c r="A135" s="7" t="inlineStr">
        <is>
          <t>b-3/8-5-i2</t>
        </is>
      </c>
      <c r="B135" s="7" t="inlineStr">
        <is>
          <t>3/8</t>
        </is>
      </c>
      <c r="C135" s="7" t="inlineStr">
        <is>
          <t>b</t>
        </is>
      </c>
      <c r="D135" s="7" t="inlineStr">
        <is>
          <t>b (.825)</t>
        </is>
      </c>
      <c r="E135" s="7" t="n">
        <v>5</v>
      </c>
      <c r="F135" s="7" t="n">
        <v>2</v>
      </c>
      <c r="G135" s="8" t="n"/>
      <c r="H135" s="27" t="n"/>
      <c r="I135" s="27" t="n"/>
      <c r="J135" s="8" t="n"/>
      <c r="K135" s="8" t="n"/>
      <c r="L135" s="10" t="n"/>
      <c r="M135" s="8" t="n"/>
      <c r="N135" s="11">
        <f>IF(OR(J135="",H135="",I135=""),"",J135/((I135-H135)*1440))</f>
        <v/>
      </c>
      <c r="O135" s="7" t="n"/>
      <c r="P135" s="7" t="n"/>
      <c r="Q135" s="7" t="n"/>
      <c r="R135" s="12" t="n"/>
      <c r="S135" s="13">
        <f>IF(OR(R135="",J135=""),"",R135/J135-1)</f>
        <v/>
      </c>
      <c r="T135" s="14">
        <f>IF(OR(L135="",R135="",J135=""),"",SQRT(4+(L135^2-4)*(R135/J135)^2))</f>
        <v/>
      </c>
      <c r="U135" s="7" t="n"/>
      <c r="V135" s="7" t="n"/>
    </row>
    <row r="136">
      <c r="A136" s="7" t="inlineStr">
        <is>
          <t>b-3/8-5-i3</t>
        </is>
      </c>
      <c r="B136" s="7" t="inlineStr">
        <is>
          <t>3/8</t>
        </is>
      </c>
      <c r="C136" s="7" t="inlineStr">
        <is>
          <t>b</t>
        </is>
      </c>
      <c r="D136" s="7" t="inlineStr">
        <is>
          <t>b (.825)</t>
        </is>
      </c>
      <c r="E136" s="7" t="n">
        <v>5</v>
      </c>
      <c r="F136" s="7" t="n">
        <v>3</v>
      </c>
      <c r="G136" s="8" t="n"/>
      <c r="H136" s="27" t="n"/>
      <c r="I136" s="27" t="n"/>
      <c r="J136" s="8" t="n"/>
      <c r="K136" s="8" t="n"/>
      <c r="L136" s="10" t="n"/>
      <c r="M136" s="8" t="n"/>
      <c r="N136" s="11">
        <f>IF(OR(J136="",H136="",I136=""),"",J136/((I136-H136)*1440))</f>
        <v/>
      </c>
      <c r="O136" s="7" t="n"/>
      <c r="P136" s="7" t="n"/>
      <c r="Q136" s="7" t="n"/>
      <c r="R136" s="12" t="n"/>
      <c r="S136" s="13">
        <f>IF(OR(R136="",J136=""),"",R136/J136-1)</f>
        <v/>
      </c>
      <c r="T136" s="14">
        <f>IF(OR(L136="",R136="",J136=""),"",SQRT(4+(L136^2-4)*(R136/J136)^2))</f>
        <v/>
      </c>
      <c r="U136" s="7" t="n"/>
      <c r="V136" s="7" t="n"/>
    </row>
    <row r="137">
      <c r="A137" s="7" t="inlineStr">
        <is>
          <t>b-3/8-10-i1</t>
        </is>
      </c>
      <c r="B137" s="7" t="inlineStr">
        <is>
          <t>3/8</t>
        </is>
      </c>
      <c r="C137" s="7" t="inlineStr">
        <is>
          <t>b</t>
        </is>
      </c>
      <c r="D137" s="7" t="inlineStr">
        <is>
          <t>b (.825)</t>
        </is>
      </c>
      <c r="E137" s="7" t="n">
        <v>10</v>
      </c>
      <c r="F137" s="7" t="n">
        <v>1</v>
      </c>
      <c r="G137" s="8" t="n"/>
      <c r="H137" s="27" t="n"/>
      <c r="I137" s="27" t="n"/>
      <c r="J137" s="8" t="n"/>
      <c r="K137" s="8" t="n"/>
      <c r="L137" s="10" t="n"/>
      <c r="M137" s="8" t="n"/>
      <c r="N137" s="11">
        <f>IF(OR(J137="",H137="",I137=""),"",J137/((I137-H137)*1440))</f>
        <v/>
      </c>
      <c r="O137" s="7" t="n"/>
      <c r="P137" s="7" t="n"/>
      <c r="Q137" s="7" t="n"/>
      <c r="R137" s="12" t="n"/>
      <c r="S137" s="13">
        <f>IF(OR(R137="",J137=""),"",R137/J137-1)</f>
        <v/>
      </c>
      <c r="T137" s="14">
        <f>IF(OR(L137="",R137="",J137=""),"",SQRT(4+(L137^2-4)*(R137/J137)^2))</f>
        <v/>
      </c>
      <c r="U137" s="7" t="n"/>
      <c r="V137" s="7" t="n"/>
    </row>
    <row r="138">
      <c r="A138" s="7" t="inlineStr">
        <is>
          <t>b-3/8-10-i2</t>
        </is>
      </c>
      <c r="B138" s="7" t="inlineStr">
        <is>
          <t>3/8</t>
        </is>
      </c>
      <c r="C138" s="7" t="inlineStr">
        <is>
          <t>b</t>
        </is>
      </c>
      <c r="D138" s="7" t="inlineStr">
        <is>
          <t>b (.825)</t>
        </is>
      </c>
      <c r="E138" s="7" t="n">
        <v>10</v>
      </c>
      <c r="F138" s="7" t="n">
        <v>2</v>
      </c>
      <c r="G138" s="8" t="n"/>
      <c r="H138" s="27" t="n"/>
      <c r="I138" s="27" t="n"/>
      <c r="J138" s="8" t="n"/>
      <c r="K138" s="8" t="n"/>
      <c r="L138" s="10" t="n"/>
      <c r="M138" s="8" t="n"/>
      <c r="N138" s="11">
        <f>IF(OR(J138="",H138="",I138=""),"",J138/((I138-H138)*1440))</f>
        <v/>
      </c>
      <c r="O138" s="7" t="n"/>
      <c r="P138" s="7" t="n"/>
      <c r="Q138" s="7" t="n"/>
      <c r="R138" s="12" t="n"/>
      <c r="S138" s="13">
        <f>IF(OR(R138="",J138=""),"",R138/J138-1)</f>
        <v/>
      </c>
      <c r="T138" s="14">
        <f>IF(OR(L138="",R138="",J138=""),"",SQRT(4+(L138^2-4)*(R138/J138)^2))</f>
        <v/>
      </c>
      <c r="U138" s="7" t="n"/>
      <c r="V138" s="7" t="n"/>
    </row>
    <row r="139">
      <c r="A139" s="7" t="inlineStr">
        <is>
          <t>b-3/8-10-i3</t>
        </is>
      </c>
      <c r="B139" s="7" t="inlineStr">
        <is>
          <t>3/8</t>
        </is>
      </c>
      <c r="C139" s="7" t="inlineStr">
        <is>
          <t>b</t>
        </is>
      </c>
      <c r="D139" s="7" t="inlineStr">
        <is>
          <t>b (.825)</t>
        </is>
      </c>
      <c r="E139" s="7" t="n">
        <v>10</v>
      </c>
      <c r="F139" s="7" t="n">
        <v>3</v>
      </c>
      <c r="G139" s="8" t="n"/>
      <c r="H139" s="27" t="n"/>
      <c r="I139" s="27" t="n"/>
      <c r="J139" s="8" t="n"/>
      <c r="K139" s="8" t="n"/>
      <c r="L139" s="10" t="n"/>
      <c r="M139" s="8" t="n"/>
      <c r="N139" s="11">
        <f>IF(OR(J139="",H139="",I139=""),"",J139/((I139-H139)*1440))</f>
        <v/>
      </c>
      <c r="O139" s="7" t="n"/>
      <c r="P139" s="7" t="n"/>
      <c r="Q139" s="7" t="n"/>
      <c r="R139" s="12" t="n"/>
      <c r="S139" s="13">
        <f>IF(OR(R139="",J139=""),"",R139/J139-1)</f>
        <v/>
      </c>
      <c r="T139" s="14">
        <f>IF(OR(L139="",R139="",J139=""),"",SQRT(4+(L139^2-4)*(R139/J139)^2))</f>
        <v/>
      </c>
      <c r="U139" s="7" t="n"/>
      <c r="V139" s="7" t="n"/>
    </row>
    <row r="140">
      <c r="A140" s="7" t="inlineStr">
        <is>
          <t>C-3/8-0.5-i1</t>
        </is>
      </c>
      <c r="B140" s="7" t="inlineStr">
        <is>
          <t>3/8</t>
        </is>
      </c>
      <c r="C140" s="7" t="inlineStr">
        <is>
          <t>C</t>
        </is>
      </c>
      <c r="D140" s="7" t="inlineStr">
        <is>
          <t>C</t>
        </is>
      </c>
      <c r="E140" s="7" t="n">
        <v>0.5</v>
      </c>
      <c r="F140" s="7" t="n">
        <v>1</v>
      </c>
      <c r="G140" s="8" t="n"/>
      <c r="H140" s="27" t="n"/>
      <c r="I140" s="27" t="n"/>
      <c r="J140" s="8" t="n"/>
      <c r="K140" s="8" t="n"/>
      <c r="L140" s="10" t="n"/>
      <c r="M140" s="8" t="n"/>
      <c r="N140" s="11">
        <f>IF(OR(J140="",H140="",I140=""),"",J140/((I140-H140)*1440))</f>
        <v/>
      </c>
      <c r="O140" s="7" t="n"/>
      <c r="P140" s="7" t="n"/>
      <c r="Q140" s="7" t="n"/>
      <c r="R140" s="12" t="n"/>
      <c r="S140" s="13">
        <f>IF(OR(R140="",J140=""),"",R140/J140-1)</f>
        <v/>
      </c>
      <c r="T140" s="14">
        <f>IF(OR(L140="",R140="",J140=""),"",SQRT(4+(L140^2-4)*(R140/J140)^2))</f>
        <v/>
      </c>
      <c r="U140" s="7" t="n"/>
      <c r="V140" s="7" t="n"/>
    </row>
    <row r="141">
      <c r="A141" s="7" t="inlineStr">
        <is>
          <t>C-3/8-0.5-i2</t>
        </is>
      </c>
      <c r="B141" s="7" t="inlineStr">
        <is>
          <t>3/8</t>
        </is>
      </c>
      <c r="C141" s="7" t="inlineStr">
        <is>
          <t>C</t>
        </is>
      </c>
      <c r="D141" s="7" t="inlineStr">
        <is>
          <t>C</t>
        </is>
      </c>
      <c r="E141" s="7" t="n">
        <v>0.5</v>
      </c>
      <c r="F141" s="7" t="n">
        <v>2</v>
      </c>
      <c r="G141" s="8" t="n"/>
      <c r="H141" s="27" t="n"/>
      <c r="I141" s="27" t="n"/>
      <c r="J141" s="8" t="n"/>
      <c r="K141" s="8" t="n"/>
      <c r="L141" s="10" t="n"/>
      <c r="M141" s="8" t="n"/>
      <c r="N141" s="11">
        <f>IF(OR(J141="",H141="",I141=""),"",J141/((I141-H141)*1440))</f>
        <v/>
      </c>
      <c r="O141" s="7" t="n"/>
      <c r="P141" s="7" t="n"/>
      <c r="Q141" s="7" t="n"/>
      <c r="R141" s="12" t="n"/>
      <c r="S141" s="13">
        <f>IF(OR(R141="",J141=""),"",R141/J141-1)</f>
        <v/>
      </c>
      <c r="T141" s="14">
        <f>IF(OR(L141="",R141="",J141=""),"",SQRT(4+(L141^2-4)*(R141/J141)^2))</f>
        <v/>
      </c>
      <c r="U141" s="7" t="n"/>
      <c r="V141" s="7" t="n"/>
    </row>
    <row r="142">
      <c r="A142" s="7" t="inlineStr">
        <is>
          <t>C-3/8-0.5-i3</t>
        </is>
      </c>
      <c r="B142" s="7" t="inlineStr">
        <is>
          <t>3/8</t>
        </is>
      </c>
      <c r="C142" s="7" t="inlineStr">
        <is>
          <t>C</t>
        </is>
      </c>
      <c r="D142" s="7" t="inlineStr">
        <is>
          <t>C</t>
        </is>
      </c>
      <c r="E142" s="7" t="n">
        <v>0.5</v>
      </c>
      <c r="F142" s="7" t="n">
        <v>3</v>
      </c>
      <c r="G142" s="8" t="n"/>
      <c r="H142" s="27" t="n"/>
      <c r="I142" s="27" t="n"/>
      <c r="J142" s="8" t="n"/>
      <c r="K142" s="8" t="n"/>
      <c r="L142" s="10" t="n"/>
      <c r="M142" s="8" t="n"/>
      <c r="N142" s="11">
        <f>IF(OR(J142="",H142="",I142=""),"",J142/((I142-H142)*1440))</f>
        <v/>
      </c>
      <c r="O142" s="7" t="n"/>
      <c r="P142" s="7" t="n"/>
      <c r="Q142" s="7" t="n"/>
      <c r="R142" s="12" t="n"/>
      <c r="S142" s="13">
        <f>IF(OR(R142="",J142=""),"",R142/J142-1)</f>
        <v/>
      </c>
      <c r="T142" s="14">
        <f>IF(OR(L142="",R142="",J142=""),"",SQRT(4+(L142^2-4)*(R142/J142)^2))</f>
        <v/>
      </c>
      <c r="U142" s="7" t="n"/>
      <c r="V142" s="7" t="n"/>
    </row>
    <row r="143">
      <c r="A143" s="7" t="inlineStr">
        <is>
          <t>C-3/8-1-i1</t>
        </is>
      </c>
      <c r="B143" s="7" t="inlineStr">
        <is>
          <t>3/8</t>
        </is>
      </c>
      <c r="C143" s="7" t="inlineStr">
        <is>
          <t>C</t>
        </is>
      </c>
      <c r="D143" s="7" t="inlineStr">
        <is>
          <t>C</t>
        </is>
      </c>
      <c r="E143" s="7" t="n">
        <v>1</v>
      </c>
      <c r="F143" s="7" t="n">
        <v>1</v>
      </c>
      <c r="G143" s="8" t="n"/>
      <c r="H143" s="27" t="n"/>
      <c r="I143" s="27" t="n"/>
      <c r="J143" s="8" t="n"/>
      <c r="K143" s="8" t="n"/>
      <c r="L143" s="10" t="n"/>
      <c r="M143" s="8" t="n"/>
      <c r="N143" s="11">
        <f>IF(OR(J143="",H143="",I143=""),"",J143/((I143-H143)*1440))</f>
        <v/>
      </c>
      <c r="O143" s="7" t="n"/>
      <c r="P143" s="7" t="n"/>
      <c r="Q143" s="7" t="n"/>
      <c r="R143" s="12" t="n"/>
      <c r="S143" s="13">
        <f>IF(OR(R143="",J143=""),"",R143/J143-1)</f>
        <v/>
      </c>
      <c r="T143" s="14">
        <f>IF(OR(L143="",R143="",J143=""),"",SQRT(4+(L143^2-4)*(R143/J143)^2))</f>
        <v/>
      </c>
      <c r="U143" s="7" t="n"/>
      <c r="V143" s="7" t="n"/>
    </row>
    <row r="144">
      <c r="A144" s="7" t="inlineStr">
        <is>
          <t>C-3/8-1-i2</t>
        </is>
      </c>
      <c r="B144" s="7" t="inlineStr">
        <is>
          <t>3/8</t>
        </is>
      </c>
      <c r="C144" s="7" t="inlineStr">
        <is>
          <t>C</t>
        </is>
      </c>
      <c r="D144" s="7" t="inlineStr">
        <is>
          <t>C</t>
        </is>
      </c>
      <c r="E144" s="7" t="n">
        <v>1</v>
      </c>
      <c r="F144" s="7" t="n">
        <v>2</v>
      </c>
      <c r="G144" s="8" t="n"/>
      <c r="H144" s="27" t="n"/>
      <c r="I144" s="27" t="n"/>
      <c r="J144" s="8" t="n"/>
      <c r="K144" s="8" t="n"/>
      <c r="L144" s="10" t="n"/>
      <c r="M144" s="8" t="n"/>
      <c r="N144" s="11">
        <f>IF(OR(J144="",H144="",I144=""),"",J144/((I144-H144)*1440))</f>
        <v/>
      </c>
      <c r="O144" s="7" t="n"/>
      <c r="P144" s="7" t="n"/>
      <c r="Q144" s="7" t="n"/>
      <c r="R144" s="12" t="n"/>
      <c r="S144" s="13">
        <f>IF(OR(R144="",J144=""),"",R144/J144-1)</f>
        <v/>
      </c>
      <c r="T144" s="14">
        <f>IF(OR(L144="",R144="",J144=""),"",SQRT(4+(L144^2-4)*(R144/J144)^2))</f>
        <v/>
      </c>
      <c r="U144" s="7" t="n"/>
      <c r="V144" s="7" t="n"/>
    </row>
    <row r="145">
      <c r="A145" s="7" t="inlineStr">
        <is>
          <t>C-3/8-1-i3</t>
        </is>
      </c>
      <c r="B145" s="7" t="inlineStr">
        <is>
          <t>3/8</t>
        </is>
      </c>
      <c r="C145" s="7" t="inlineStr">
        <is>
          <t>C</t>
        </is>
      </c>
      <c r="D145" s="7" t="inlineStr">
        <is>
          <t>C</t>
        </is>
      </c>
      <c r="E145" s="7" t="n">
        <v>1</v>
      </c>
      <c r="F145" s="7" t="n">
        <v>3</v>
      </c>
      <c r="G145" s="8" t="n"/>
      <c r="H145" s="27" t="n"/>
      <c r="I145" s="27" t="n"/>
      <c r="J145" s="8" t="n"/>
      <c r="K145" s="8" t="n"/>
      <c r="L145" s="10" t="n"/>
      <c r="M145" s="8" t="n"/>
      <c r="N145" s="11">
        <f>IF(OR(J145="",H145="",I145=""),"",J145/((I145-H145)*1440))</f>
        <v/>
      </c>
      <c r="O145" s="7" t="n"/>
      <c r="P145" s="7" t="n"/>
      <c r="Q145" s="7" t="n"/>
      <c r="R145" s="12" t="n"/>
      <c r="S145" s="13">
        <f>IF(OR(R145="",J145=""),"",R145/J145-1)</f>
        <v/>
      </c>
      <c r="T145" s="14">
        <f>IF(OR(L145="",R145="",J145=""),"",SQRT(4+(L145^2-4)*(R145/J145)^2))</f>
        <v/>
      </c>
      <c r="U145" s="7" t="n"/>
      <c r="V145" s="7" t="n"/>
    </row>
    <row r="146">
      <c r="A146" s="7" t="inlineStr">
        <is>
          <t>C-3/8-3-i1</t>
        </is>
      </c>
      <c r="B146" s="7" t="inlineStr">
        <is>
          <t>3/8</t>
        </is>
      </c>
      <c r="C146" s="7" t="inlineStr">
        <is>
          <t>C</t>
        </is>
      </c>
      <c r="D146" s="7" t="inlineStr">
        <is>
          <t>C</t>
        </is>
      </c>
      <c r="E146" s="7" t="n">
        <v>3</v>
      </c>
      <c r="F146" s="7" t="n">
        <v>1</v>
      </c>
      <c r="G146" s="8" t="n"/>
      <c r="H146" s="27" t="n"/>
      <c r="I146" s="27" t="n"/>
      <c r="J146" s="8" t="n"/>
      <c r="K146" s="8" t="n"/>
      <c r="L146" s="10" t="n"/>
      <c r="M146" s="8" t="n"/>
      <c r="N146" s="11">
        <f>IF(OR(J146="",H146="",I146=""),"",J146/((I146-H146)*1440))</f>
        <v/>
      </c>
      <c r="O146" s="7" t="n"/>
      <c r="P146" s="7" t="n"/>
      <c r="Q146" s="7" t="n"/>
      <c r="R146" s="12" t="n"/>
      <c r="S146" s="13">
        <f>IF(OR(R146="",J146=""),"",R146/J146-1)</f>
        <v/>
      </c>
      <c r="T146" s="14">
        <f>IF(OR(L146="",R146="",J146=""),"",SQRT(4+(L146^2-4)*(R146/J146)^2))</f>
        <v/>
      </c>
      <c r="U146" s="7" t="n"/>
      <c r="V146" s="7" t="n"/>
    </row>
    <row r="147">
      <c r="A147" s="7" t="inlineStr">
        <is>
          <t>C-3/8-3-i2</t>
        </is>
      </c>
      <c r="B147" s="7" t="inlineStr">
        <is>
          <t>3/8</t>
        </is>
      </c>
      <c r="C147" s="7" t="inlineStr">
        <is>
          <t>C</t>
        </is>
      </c>
      <c r="D147" s="7" t="inlineStr">
        <is>
          <t>C</t>
        </is>
      </c>
      <c r="E147" s="7" t="n">
        <v>3</v>
      </c>
      <c r="F147" s="7" t="n">
        <v>2</v>
      </c>
      <c r="G147" s="8" t="n"/>
      <c r="H147" s="27" t="n"/>
      <c r="I147" s="27" t="n"/>
      <c r="J147" s="8" t="n"/>
      <c r="K147" s="8" t="n"/>
      <c r="L147" s="10" t="n"/>
      <c r="M147" s="8" t="n"/>
      <c r="N147" s="11">
        <f>IF(OR(J147="",H147="",I147=""),"",J147/((I147-H147)*1440))</f>
        <v/>
      </c>
      <c r="O147" s="7" t="n"/>
      <c r="P147" s="7" t="n"/>
      <c r="Q147" s="7" t="n"/>
      <c r="R147" s="12" t="n"/>
      <c r="S147" s="13">
        <f>IF(OR(R147="",J147=""),"",R147/J147-1)</f>
        <v/>
      </c>
      <c r="T147" s="14">
        <f>IF(OR(L147="",R147="",J147=""),"",SQRT(4+(L147^2-4)*(R147/J147)^2))</f>
        <v/>
      </c>
      <c r="U147" s="7" t="n"/>
      <c r="V147" s="7" t="n"/>
    </row>
    <row r="148">
      <c r="A148" s="7" t="inlineStr">
        <is>
          <t>C-3/8-3-i3</t>
        </is>
      </c>
      <c r="B148" s="7" t="inlineStr">
        <is>
          <t>3/8</t>
        </is>
      </c>
      <c r="C148" s="7" t="inlineStr">
        <is>
          <t>C</t>
        </is>
      </c>
      <c r="D148" s="7" t="inlineStr">
        <is>
          <t>C</t>
        </is>
      </c>
      <c r="E148" s="7" t="n">
        <v>3</v>
      </c>
      <c r="F148" s="7" t="n">
        <v>3</v>
      </c>
      <c r="G148" s="8" t="n"/>
      <c r="H148" s="27" t="n"/>
      <c r="I148" s="27" t="n"/>
      <c r="J148" s="8" t="n"/>
      <c r="K148" s="8" t="n"/>
      <c r="L148" s="10" t="n"/>
      <c r="M148" s="8" t="n"/>
      <c r="N148" s="11">
        <f>IF(OR(J148="",H148="",I148=""),"",J148/((I148-H148)*1440))</f>
        <v/>
      </c>
      <c r="O148" s="7" t="n"/>
      <c r="P148" s="7" t="n"/>
      <c r="Q148" s="7" t="n"/>
      <c r="R148" s="12" t="n"/>
      <c r="S148" s="13">
        <f>IF(OR(R148="",J148=""),"",R148/J148-1)</f>
        <v/>
      </c>
      <c r="T148" s="14">
        <f>IF(OR(L148="",R148="",J148=""),"",SQRT(4+(L148^2-4)*(R148/J148)^2))</f>
        <v/>
      </c>
      <c r="U148" s="7" t="n"/>
      <c r="V148" s="7" t="n"/>
    </row>
    <row r="149">
      <c r="A149" s="7" t="inlineStr">
        <is>
          <t>C-3/8-5-i1</t>
        </is>
      </c>
      <c r="B149" s="7" t="inlineStr">
        <is>
          <t>3/8</t>
        </is>
      </c>
      <c r="C149" s="7" t="inlineStr">
        <is>
          <t>C</t>
        </is>
      </c>
      <c r="D149" s="7" t="inlineStr">
        <is>
          <t>C</t>
        </is>
      </c>
      <c r="E149" s="7" t="n">
        <v>5</v>
      </c>
      <c r="F149" s="7" t="n">
        <v>1</v>
      </c>
      <c r="G149" s="8" t="n"/>
      <c r="H149" s="27" t="n"/>
      <c r="I149" s="27" t="n"/>
      <c r="J149" s="8" t="n"/>
      <c r="K149" s="8" t="n"/>
      <c r="L149" s="10" t="n"/>
      <c r="M149" s="8" t="n"/>
      <c r="N149" s="11">
        <f>IF(OR(J149="",H149="",I149=""),"",J149/((I149-H149)*1440))</f>
        <v/>
      </c>
      <c r="O149" s="7" t="n"/>
      <c r="P149" s="7" t="n"/>
      <c r="Q149" s="7" t="n"/>
      <c r="R149" s="12" t="n"/>
      <c r="S149" s="13">
        <f>IF(OR(R149="",J149=""),"",R149/J149-1)</f>
        <v/>
      </c>
      <c r="T149" s="14">
        <f>IF(OR(L149="",R149="",J149=""),"",SQRT(4+(L149^2-4)*(R149/J149)^2))</f>
        <v/>
      </c>
      <c r="U149" s="7" t="n"/>
      <c r="V149" s="7" t="n"/>
    </row>
    <row r="150">
      <c r="A150" s="7" t="inlineStr">
        <is>
          <t>C-3/8-5-i2</t>
        </is>
      </c>
      <c r="B150" s="7" t="inlineStr">
        <is>
          <t>3/8</t>
        </is>
      </c>
      <c r="C150" s="7" t="inlineStr">
        <is>
          <t>C</t>
        </is>
      </c>
      <c r="D150" s="7" t="inlineStr">
        <is>
          <t>C</t>
        </is>
      </c>
      <c r="E150" s="7" t="n">
        <v>5</v>
      </c>
      <c r="F150" s="7" t="n">
        <v>2</v>
      </c>
      <c r="G150" s="8" t="n"/>
      <c r="H150" s="27" t="n"/>
      <c r="I150" s="27" t="n"/>
      <c r="J150" s="8" t="n"/>
      <c r="K150" s="8" t="n"/>
      <c r="L150" s="10" t="n"/>
      <c r="M150" s="8" t="n"/>
      <c r="N150" s="11">
        <f>IF(OR(J150="",H150="",I150=""),"",J150/((I150-H150)*1440))</f>
        <v/>
      </c>
      <c r="O150" s="7" t="n"/>
      <c r="P150" s="7" t="n"/>
      <c r="Q150" s="7" t="n"/>
      <c r="R150" s="12" t="n"/>
      <c r="S150" s="13">
        <f>IF(OR(R150="",J150=""),"",R150/J150-1)</f>
        <v/>
      </c>
      <c r="T150" s="14">
        <f>IF(OR(L150="",R150="",J150=""),"",SQRT(4+(L150^2-4)*(R150/J150)^2))</f>
        <v/>
      </c>
      <c r="U150" s="7" t="n"/>
      <c r="V150" s="7" t="n"/>
    </row>
    <row r="151">
      <c r="A151" s="7" t="inlineStr">
        <is>
          <t>C-3/8-5-i3</t>
        </is>
      </c>
      <c r="B151" s="7" t="inlineStr">
        <is>
          <t>3/8</t>
        </is>
      </c>
      <c r="C151" s="7" t="inlineStr">
        <is>
          <t>C</t>
        </is>
      </c>
      <c r="D151" s="7" t="inlineStr">
        <is>
          <t>C</t>
        </is>
      </c>
      <c r="E151" s="7" t="n">
        <v>5</v>
      </c>
      <c r="F151" s="7" t="n">
        <v>3</v>
      </c>
      <c r="G151" s="8" t="n"/>
      <c r="H151" s="27" t="n"/>
      <c r="I151" s="27" t="n"/>
      <c r="J151" s="8" t="n"/>
      <c r="K151" s="8" t="n"/>
      <c r="L151" s="10" t="n"/>
      <c r="M151" s="8" t="n"/>
      <c r="N151" s="11">
        <f>IF(OR(J151="",H151="",I151=""),"",J151/((I151-H151)*1440))</f>
        <v/>
      </c>
      <c r="O151" s="7" t="n"/>
      <c r="P151" s="7" t="n"/>
      <c r="Q151" s="7" t="n"/>
      <c r="R151" s="12" t="n"/>
      <c r="S151" s="13">
        <f>IF(OR(R151="",J151=""),"",R151/J151-1)</f>
        <v/>
      </c>
      <c r="T151" s="14">
        <f>IF(OR(L151="",R151="",J151=""),"",SQRT(4+(L151^2-4)*(R151/J151)^2))</f>
        <v/>
      </c>
      <c r="U151" s="7" t="n"/>
      <c r="V151" s="7" t="n"/>
    </row>
    <row r="152">
      <c r="A152" s="7" t="inlineStr">
        <is>
          <t>C-3/8-10-i1</t>
        </is>
      </c>
      <c r="B152" s="7" t="inlineStr">
        <is>
          <t>3/8</t>
        </is>
      </c>
      <c r="C152" s="7" t="inlineStr">
        <is>
          <t>C</t>
        </is>
      </c>
      <c r="D152" s="7" t="inlineStr">
        <is>
          <t>C</t>
        </is>
      </c>
      <c r="E152" s="7" t="n">
        <v>10</v>
      </c>
      <c r="F152" s="7" t="n">
        <v>1</v>
      </c>
      <c r="G152" s="8" t="n"/>
      <c r="H152" s="27" t="n"/>
      <c r="I152" s="27" t="n"/>
      <c r="J152" s="8" t="n"/>
      <c r="K152" s="8" t="n"/>
      <c r="L152" s="10" t="n"/>
      <c r="M152" s="8" t="n"/>
      <c r="N152" s="11">
        <f>IF(OR(J152="",H152="",I152=""),"",J152/((I152-H152)*1440))</f>
        <v/>
      </c>
      <c r="O152" s="7" t="n"/>
      <c r="P152" s="7" t="n"/>
      <c r="Q152" s="7" t="n"/>
      <c r="R152" s="12" t="n"/>
      <c r="S152" s="13">
        <f>IF(OR(R152="",J152=""),"",R152/J152-1)</f>
        <v/>
      </c>
      <c r="T152" s="14">
        <f>IF(OR(L152="",R152="",J152=""),"",SQRT(4+(L152^2-4)*(R152/J152)^2))</f>
        <v/>
      </c>
      <c r="U152" s="7" t="n"/>
      <c r="V152" s="7" t="n"/>
    </row>
    <row r="153">
      <c r="A153" s="7" t="inlineStr">
        <is>
          <t>C-3/8-10-i2</t>
        </is>
      </c>
      <c r="B153" s="7" t="inlineStr">
        <is>
          <t>3/8</t>
        </is>
      </c>
      <c r="C153" s="7" t="inlineStr">
        <is>
          <t>C</t>
        </is>
      </c>
      <c r="D153" s="7" t="inlineStr">
        <is>
          <t>C</t>
        </is>
      </c>
      <c r="E153" s="7" t="n">
        <v>10</v>
      </c>
      <c r="F153" s="7" t="n">
        <v>2</v>
      </c>
      <c r="G153" s="8" t="n"/>
      <c r="H153" s="27" t="n"/>
      <c r="I153" s="27" t="n"/>
      <c r="J153" s="8" t="n"/>
      <c r="K153" s="8" t="n"/>
      <c r="L153" s="10" t="n"/>
      <c r="M153" s="8" t="n"/>
      <c r="N153" s="11">
        <f>IF(OR(J153="",H153="",I153=""),"",J153/((I153-H153)*1440))</f>
        <v/>
      </c>
      <c r="O153" s="7" t="n"/>
      <c r="P153" s="7" t="n"/>
      <c r="Q153" s="7" t="n"/>
      <c r="R153" s="12" t="n"/>
      <c r="S153" s="13">
        <f>IF(OR(R153="",J153=""),"",R153/J153-1)</f>
        <v/>
      </c>
      <c r="T153" s="14">
        <f>IF(OR(L153="",R153="",J153=""),"",SQRT(4+(L153^2-4)*(R153/J153)^2))</f>
        <v/>
      </c>
      <c r="U153" s="7" t="n"/>
      <c r="V153" s="7" t="n"/>
    </row>
    <row r="154">
      <c r="A154" s="7" t="inlineStr">
        <is>
          <t>C-3/8-10-i3</t>
        </is>
      </c>
      <c r="B154" s="7" t="inlineStr">
        <is>
          <t>3/8</t>
        </is>
      </c>
      <c r="C154" s="7" t="inlineStr">
        <is>
          <t>C</t>
        </is>
      </c>
      <c r="D154" s="7" t="inlineStr">
        <is>
          <t>C</t>
        </is>
      </c>
      <c r="E154" s="7" t="n">
        <v>10</v>
      </c>
      <c r="F154" s="7" t="n">
        <v>3</v>
      </c>
      <c r="G154" s="8" t="n"/>
      <c r="H154" s="27" t="n"/>
      <c r="I154" s="27" t="n"/>
      <c r="J154" s="8" t="n"/>
      <c r="K154" s="8" t="n"/>
      <c r="L154" s="10" t="n"/>
      <c r="M154" s="8" t="n"/>
      <c r="N154" s="11">
        <f>IF(OR(J154="",H154="",I154=""),"",J154/((I154-H154)*1440))</f>
        <v/>
      </c>
      <c r="O154" s="7" t="n"/>
      <c r="P154" s="7" t="n"/>
      <c r="Q154" s="7" t="n"/>
      <c r="R154" s="12" t="n"/>
      <c r="S154" s="13">
        <f>IF(OR(R154="",J154=""),"",R154/J154-1)</f>
        <v/>
      </c>
      <c r="T154" s="14">
        <f>IF(OR(L154="",R154="",J154=""),"",SQRT(4+(L154^2-4)*(R154/J154)^2))</f>
        <v/>
      </c>
      <c r="U154" s="7" t="n"/>
      <c r="V154" s="7" t="n"/>
    </row>
    <row r="155">
      <c r="A155" s="7" t="inlineStr">
        <is>
          <t>c-3/8-0.5-i1</t>
        </is>
      </c>
      <c r="B155" s="7" t="inlineStr">
        <is>
          <t>3/8</t>
        </is>
      </c>
      <c r="C155" s="7" t="inlineStr">
        <is>
          <t>c</t>
        </is>
      </c>
      <c r="D155" s="7" t="inlineStr">
        <is>
          <t>c</t>
        </is>
      </c>
      <c r="E155" s="7" t="n">
        <v>0.5</v>
      </c>
      <c r="F155" s="7" t="n">
        <v>1</v>
      </c>
      <c r="G155" s="8" t="n"/>
      <c r="H155" s="27" t="n"/>
      <c r="I155" s="27" t="n"/>
      <c r="J155" s="8" t="n"/>
      <c r="K155" s="8" t="n"/>
      <c r="L155" s="10" t="n"/>
      <c r="M155" s="8" t="n"/>
      <c r="N155" s="11">
        <f>IF(OR(J155="",H155="",I155=""),"",J155/((I155-H155)*1440))</f>
        <v/>
      </c>
      <c r="O155" s="7" t="n"/>
      <c r="P155" s="7" t="n"/>
      <c r="Q155" s="7" t="n"/>
      <c r="R155" s="12" t="n"/>
      <c r="S155" s="13">
        <f>IF(OR(R155="",J155=""),"",R155/J155-1)</f>
        <v/>
      </c>
      <c r="T155" s="14">
        <f>IF(OR(L155="",R155="",J155=""),"",SQRT(4+(L155^2-4)*(R155/J155)^2))</f>
        <v/>
      </c>
      <c r="U155" s="7" t="n"/>
      <c r="V155" s="7" t="n"/>
    </row>
    <row r="156">
      <c r="A156" s="7" t="inlineStr">
        <is>
          <t>c-3/8-0.5-i2</t>
        </is>
      </c>
      <c r="B156" s="7" t="inlineStr">
        <is>
          <t>3/8</t>
        </is>
      </c>
      <c r="C156" s="7" t="inlineStr">
        <is>
          <t>c</t>
        </is>
      </c>
      <c r="D156" s="7" t="inlineStr">
        <is>
          <t>c</t>
        </is>
      </c>
      <c r="E156" s="7" t="n">
        <v>0.5</v>
      </c>
      <c r="F156" s="7" t="n">
        <v>2</v>
      </c>
      <c r="G156" s="8" t="n"/>
      <c r="H156" s="27" t="n"/>
      <c r="I156" s="27" t="n"/>
      <c r="J156" s="8" t="n"/>
      <c r="K156" s="8" t="n"/>
      <c r="L156" s="10" t="n"/>
      <c r="M156" s="8" t="n"/>
      <c r="N156" s="11">
        <f>IF(OR(J156="",H156="",I156=""),"",J156/((I156-H156)*1440))</f>
        <v/>
      </c>
      <c r="O156" s="7" t="n"/>
      <c r="P156" s="7" t="n"/>
      <c r="Q156" s="7" t="n"/>
      <c r="R156" s="12" t="n"/>
      <c r="S156" s="13">
        <f>IF(OR(R156="",J156=""),"",R156/J156-1)</f>
        <v/>
      </c>
      <c r="T156" s="14">
        <f>IF(OR(L156="",R156="",J156=""),"",SQRT(4+(L156^2-4)*(R156/J156)^2))</f>
        <v/>
      </c>
      <c r="U156" s="7" t="n"/>
      <c r="V156" s="7" t="n"/>
    </row>
    <row r="157">
      <c r="A157" s="7" t="inlineStr">
        <is>
          <t>c-3/8-0.5-i3</t>
        </is>
      </c>
      <c r="B157" s="7" t="inlineStr">
        <is>
          <t>3/8</t>
        </is>
      </c>
      <c r="C157" s="7" t="inlineStr">
        <is>
          <t>c</t>
        </is>
      </c>
      <c r="D157" s="7" t="inlineStr">
        <is>
          <t>c</t>
        </is>
      </c>
      <c r="E157" s="7" t="n">
        <v>0.5</v>
      </c>
      <c r="F157" s="7" t="n">
        <v>3</v>
      </c>
      <c r="G157" s="8" t="n"/>
      <c r="H157" s="27" t="n"/>
      <c r="I157" s="27" t="n"/>
      <c r="J157" s="8" t="n"/>
      <c r="K157" s="8" t="n"/>
      <c r="L157" s="10" t="n"/>
      <c r="M157" s="8" t="n"/>
      <c r="N157" s="11">
        <f>IF(OR(J157="",H157="",I157=""),"",J157/((I157-H157)*1440))</f>
        <v/>
      </c>
      <c r="O157" s="7" t="n"/>
      <c r="P157" s="7" t="n"/>
      <c r="Q157" s="7" t="n"/>
      <c r="R157" s="12" t="n"/>
      <c r="S157" s="13">
        <f>IF(OR(R157="",J157=""),"",R157/J157-1)</f>
        <v/>
      </c>
      <c r="T157" s="14">
        <f>IF(OR(L157="",R157="",J157=""),"",SQRT(4+(L157^2-4)*(R157/J157)^2))</f>
        <v/>
      </c>
      <c r="U157" s="7" t="n"/>
      <c r="V157" s="7" t="n"/>
    </row>
    <row r="158">
      <c r="A158" s="7" t="inlineStr">
        <is>
          <t>c-3/8-1-i1</t>
        </is>
      </c>
      <c r="B158" s="7" t="inlineStr">
        <is>
          <t>3/8</t>
        </is>
      </c>
      <c r="C158" s="7" t="inlineStr">
        <is>
          <t>c</t>
        </is>
      </c>
      <c r="D158" s="7" t="inlineStr">
        <is>
          <t>c</t>
        </is>
      </c>
      <c r="E158" s="7" t="n">
        <v>1</v>
      </c>
      <c r="F158" s="7" t="n">
        <v>1</v>
      </c>
      <c r="G158" s="8" t="n"/>
      <c r="H158" s="27" t="n"/>
      <c r="I158" s="27" t="n"/>
      <c r="J158" s="8" t="n"/>
      <c r="K158" s="8" t="n"/>
      <c r="L158" s="10" t="n"/>
      <c r="M158" s="8" t="n"/>
      <c r="N158" s="11">
        <f>IF(OR(J158="",H158="",I158=""),"",J158/((I158-H158)*1440))</f>
        <v/>
      </c>
      <c r="O158" s="7" t="n"/>
      <c r="P158" s="7" t="n"/>
      <c r="Q158" s="7" t="n"/>
      <c r="R158" s="12" t="n"/>
      <c r="S158" s="13">
        <f>IF(OR(R158="",J158=""),"",R158/J158-1)</f>
        <v/>
      </c>
      <c r="T158" s="14">
        <f>IF(OR(L158="",R158="",J158=""),"",SQRT(4+(L158^2-4)*(R158/J158)^2))</f>
        <v/>
      </c>
      <c r="U158" s="7" t="n"/>
      <c r="V158" s="7" t="n"/>
    </row>
    <row r="159">
      <c r="A159" s="7" t="inlineStr">
        <is>
          <t>c-3/8-1-i2</t>
        </is>
      </c>
      <c r="B159" s="7" t="inlineStr">
        <is>
          <t>3/8</t>
        </is>
      </c>
      <c r="C159" s="7" t="inlineStr">
        <is>
          <t>c</t>
        </is>
      </c>
      <c r="D159" s="7" t="inlineStr">
        <is>
          <t>c</t>
        </is>
      </c>
      <c r="E159" s="7" t="n">
        <v>1</v>
      </c>
      <c r="F159" s="7" t="n">
        <v>2</v>
      </c>
      <c r="G159" s="8" t="n"/>
      <c r="H159" s="27" t="n"/>
      <c r="I159" s="27" t="n"/>
      <c r="J159" s="8" t="n"/>
      <c r="K159" s="8" t="n"/>
      <c r="L159" s="10" t="n"/>
      <c r="M159" s="8" t="n"/>
      <c r="N159" s="11">
        <f>IF(OR(J159="",H159="",I159=""),"",J159/((I159-H159)*1440))</f>
        <v/>
      </c>
      <c r="O159" s="7" t="n"/>
      <c r="P159" s="7" t="n"/>
      <c r="Q159" s="7" t="n"/>
      <c r="R159" s="12" t="n"/>
      <c r="S159" s="13">
        <f>IF(OR(R159="",J159=""),"",R159/J159-1)</f>
        <v/>
      </c>
      <c r="T159" s="14">
        <f>IF(OR(L159="",R159="",J159=""),"",SQRT(4+(L159^2-4)*(R159/J159)^2))</f>
        <v/>
      </c>
      <c r="U159" s="7" t="n"/>
      <c r="V159" s="7" t="n"/>
    </row>
    <row r="160">
      <c r="A160" s="7" t="inlineStr">
        <is>
          <t>c-3/8-1-i3</t>
        </is>
      </c>
      <c r="B160" s="7" t="inlineStr">
        <is>
          <t>3/8</t>
        </is>
      </c>
      <c r="C160" s="7" t="inlineStr">
        <is>
          <t>c</t>
        </is>
      </c>
      <c r="D160" s="7" t="inlineStr">
        <is>
          <t>c</t>
        </is>
      </c>
      <c r="E160" s="7" t="n">
        <v>1</v>
      </c>
      <c r="F160" s="7" t="n">
        <v>3</v>
      </c>
      <c r="G160" s="8" t="n"/>
      <c r="H160" s="27" t="n"/>
      <c r="I160" s="27" t="n"/>
      <c r="J160" s="8" t="n"/>
      <c r="K160" s="8" t="n"/>
      <c r="L160" s="10" t="n"/>
      <c r="M160" s="8" t="n"/>
      <c r="N160" s="11">
        <f>IF(OR(J160="",H160="",I160=""),"",J160/((I160-H160)*1440))</f>
        <v/>
      </c>
      <c r="O160" s="7" t="n"/>
      <c r="P160" s="7" t="n"/>
      <c r="Q160" s="7" t="n"/>
      <c r="R160" s="12" t="n"/>
      <c r="S160" s="13">
        <f>IF(OR(R160="",J160=""),"",R160/J160-1)</f>
        <v/>
      </c>
      <c r="T160" s="14">
        <f>IF(OR(L160="",R160="",J160=""),"",SQRT(4+(L160^2-4)*(R160/J160)^2))</f>
        <v/>
      </c>
      <c r="U160" s="7" t="n"/>
      <c r="V160" s="7" t="n"/>
    </row>
    <row r="161">
      <c r="A161" s="7" t="inlineStr">
        <is>
          <t>c-3/8-3-i1</t>
        </is>
      </c>
      <c r="B161" s="7" t="inlineStr">
        <is>
          <t>3/8</t>
        </is>
      </c>
      <c r="C161" s="7" t="inlineStr">
        <is>
          <t>c</t>
        </is>
      </c>
      <c r="D161" s="7" t="inlineStr">
        <is>
          <t>c</t>
        </is>
      </c>
      <c r="E161" s="7" t="n">
        <v>3</v>
      </c>
      <c r="F161" s="7" t="n">
        <v>1</v>
      </c>
      <c r="G161" s="8" t="n"/>
      <c r="H161" s="27" t="n"/>
      <c r="I161" s="27" t="n"/>
      <c r="J161" s="8" t="n"/>
      <c r="K161" s="8" t="n"/>
      <c r="L161" s="10" t="n"/>
      <c r="M161" s="8" t="n"/>
      <c r="N161" s="11">
        <f>IF(OR(J161="",H161="",I161=""),"",J161/((I161-H161)*1440))</f>
        <v/>
      </c>
      <c r="O161" s="7" t="n"/>
      <c r="P161" s="7" t="n"/>
      <c r="Q161" s="7" t="n"/>
      <c r="R161" s="12" t="n"/>
      <c r="S161" s="13">
        <f>IF(OR(R161="",J161=""),"",R161/J161-1)</f>
        <v/>
      </c>
      <c r="T161" s="14">
        <f>IF(OR(L161="",R161="",J161=""),"",SQRT(4+(L161^2-4)*(R161/J161)^2))</f>
        <v/>
      </c>
      <c r="U161" s="7" t="n"/>
      <c r="V161" s="7" t="n"/>
    </row>
    <row r="162">
      <c r="A162" s="7" t="inlineStr">
        <is>
          <t>c-3/8-3-i2</t>
        </is>
      </c>
      <c r="B162" s="7" t="inlineStr">
        <is>
          <t>3/8</t>
        </is>
      </c>
      <c r="C162" s="7" t="inlineStr">
        <is>
          <t>c</t>
        </is>
      </c>
      <c r="D162" s="7" t="inlineStr">
        <is>
          <t>c</t>
        </is>
      </c>
      <c r="E162" s="7" t="n">
        <v>3</v>
      </c>
      <c r="F162" s="7" t="n">
        <v>2</v>
      </c>
      <c r="G162" s="8" t="n"/>
      <c r="H162" s="27" t="n"/>
      <c r="I162" s="27" t="n"/>
      <c r="J162" s="8" t="n"/>
      <c r="K162" s="8" t="n"/>
      <c r="L162" s="10" t="n"/>
      <c r="M162" s="8" t="n"/>
      <c r="N162" s="11">
        <f>IF(OR(J162="",H162="",I162=""),"",J162/((I162-H162)*1440))</f>
        <v/>
      </c>
      <c r="O162" s="7" t="n"/>
      <c r="P162" s="7" t="n"/>
      <c r="Q162" s="7" t="n"/>
      <c r="R162" s="12" t="n"/>
      <c r="S162" s="13">
        <f>IF(OR(R162="",J162=""),"",R162/J162-1)</f>
        <v/>
      </c>
      <c r="T162" s="14">
        <f>IF(OR(L162="",R162="",J162=""),"",SQRT(4+(L162^2-4)*(R162/J162)^2))</f>
        <v/>
      </c>
      <c r="U162" s="7" t="n"/>
      <c r="V162" s="7" t="n"/>
    </row>
    <row r="163">
      <c r="A163" s="7" t="inlineStr">
        <is>
          <t>c-3/8-3-i3</t>
        </is>
      </c>
      <c r="B163" s="7" t="inlineStr">
        <is>
          <t>3/8</t>
        </is>
      </c>
      <c r="C163" s="7" t="inlineStr">
        <is>
          <t>c</t>
        </is>
      </c>
      <c r="D163" s="7" t="inlineStr">
        <is>
          <t>c</t>
        </is>
      </c>
      <c r="E163" s="7" t="n">
        <v>3</v>
      </c>
      <c r="F163" s="7" t="n">
        <v>3</v>
      </c>
      <c r="G163" s="8" t="n"/>
      <c r="H163" s="27" t="n"/>
      <c r="I163" s="27" t="n"/>
      <c r="J163" s="8" t="n"/>
      <c r="K163" s="8" t="n"/>
      <c r="L163" s="10" t="n"/>
      <c r="M163" s="8" t="n"/>
      <c r="N163" s="11">
        <f>IF(OR(J163="",H163="",I163=""),"",J163/((I163-H163)*1440))</f>
        <v/>
      </c>
      <c r="O163" s="7" t="n"/>
      <c r="P163" s="7" t="n"/>
      <c r="Q163" s="7" t="n"/>
      <c r="R163" s="12" t="n"/>
      <c r="S163" s="13">
        <f>IF(OR(R163="",J163=""),"",R163/J163-1)</f>
        <v/>
      </c>
      <c r="T163" s="14">
        <f>IF(OR(L163="",R163="",J163=""),"",SQRT(4+(L163^2-4)*(R163/J163)^2))</f>
        <v/>
      </c>
      <c r="U163" s="7" t="n"/>
      <c r="V163" s="7" t="n"/>
    </row>
    <row r="164">
      <c r="A164" s="7" t="inlineStr">
        <is>
          <t>c-3/8-5-i1</t>
        </is>
      </c>
      <c r="B164" s="7" t="inlineStr">
        <is>
          <t>3/8</t>
        </is>
      </c>
      <c r="C164" s="7" t="inlineStr">
        <is>
          <t>c</t>
        </is>
      </c>
      <c r="D164" s="7" t="inlineStr">
        <is>
          <t>c</t>
        </is>
      </c>
      <c r="E164" s="7" t="n">
        <v>5</v>
      </c>
      <c r="F164" s="7" t="n">
        <v>1</v>
      </c>
      <c r="G164" s="8" t="n"/>
      <c r="H164" s="27" t="n"/>
      <c r="I164" s="27" t="n"/>
      <c r="J164" s="8" t="n"/>
      <c r="K164" s="8" t="n"/>
      <c r="L164" s="10" t="n"/>
      <c r="M164" s="8" t="n"/>
      <c r="N164" s="11">
        <f>IF(OR(J164="",H164="",I164=""),"",J164/((I164-H164)*1440))</f>
        <v/>
      </c>
      <c r="O164" s="7" t="n"/>
      <c r="P164" s="7" t="n"/>
      <c r="Q164" s="7" t="n"/>
      <c r="R164" s="12" t="n"/>
      <c r="S164" s="13">
        <f>IF(OR(R164="",J164=""),"",R164/J164-1)</f>
        <v/>
      </c>
      <c r="T164" s="14">
        <f>IF(OR(L164="",R164="",J164=""),"",SQRT(4+(L164^2-4)*(R164/J164)^2))</f>
        <v/>
      </c>
      <c r="U164" s="7" t="n"/>
      <c r="V164" s="7" t="n"/>
    </row>
    <row r="165">
      <c r="A165" s="7" t="inlineStr">
        <is>
          <t>c-3/8-5-i2</t>
        </is>
      </c>
      <c r="B165" s="7" t="inlineStr">
        <is>
          <t>3/8</t>
        </is>
      </c>
      <c r="C165" s="7" t="inlineStr">
        <is>
          <t>c</t>
        </is>
      </c>
      <c r="D165" s="7" t="inlineStr">
        <is>
          <t>c</t>
        </is>
      </c>
      <c r="E165" s="7" t="n">
        <v>5</v>
      </c>
      <c r="F165" s="7" t="n">
        <v>2</v>
      </c>
      <c r="G165" s="8" t="n"/>
      <c r="H165" s="27" t="n"/>
      <c r="I165" s="27" t="n"/>
      <c r="J165" s="8" t="n"/>
      <c r="K165" s="8" t="n"/>
      <c r="L165" s="10" t="n"/>
      <c r="M165" s="8" t="n"/>
      <c r="N165" s="11">
        <f>IF(OR(J165="",H165="",I165=""),"",J165/((I165-H165)*1440))</f>
        <v/>
      </c>
      <c r="O165" s="7" t="n"/>
      <c r="P165" s="7" t="n"/>
      <c r="Q165" s="7" t="n"/>
      <c r="R165" s="12" t="n"/>
      <c r="S165" s="13">
        <f>IF(OR(R165="",J165=""),"",R165/J165-1)</f>
        <v/>
      </c>
      <c r="T165" s="14">
        <f>IF(OR(L165="",R165="",J165=""),"",SQRT(4+(L165^2-4)*(R165/J165)^2))</f>
        <v/>
      </c>
      <c r="U165" s="7" t="n"/>
      <c r="V165" s="7" t="n"/>
    </row>
    <row r="166">
      <c r="A166" s="7" t="inlineStr">
        <is>
          <t>c-3/8-5-i3</t>
        </is>
      </c>
      <c r="B166" s="7" t="inlineStr">
        <is>
          <t>3/8</t>
        </is>
      </c>
      <c r="C166" s="7" t="inlineStr">
        <is>
          <t>c</t>
        </is>
      </c>
      <c r="D166" s="7" t="inlineStr">
        <is>
          <t>c</t>
        </is>
      </c>
      <c r="E166" s="7" t="n">
        <v>5</v>
      </c>
      <c r="F166" s="7" t="n">
        <v>3</v>
      </c>
      <c r="G166" s="8" t="n"/>
      <c r="H166" s="27" t="n"/>
      <c r="I166" s="27" t="n"/>
      <c r="J166" s="8" t="n"/>
      <c r="K166" s="8" t="n"/>
      <c r="L166" s="10" t="n"/>
      <c r="M166" s="8" t="n"/>
      <c r="N166" s="11">
        <f>IF(OR(J166="",H166="",I166=""),"",J166/((I166-H166)*1440))</f>
        <v/>
      </c>
      <c r="O166" s="7" t="n"/>
      <c r="P166" s="7" t="n"/>
      <c r="Q166" s="7" t="n"/>
      <c r="R166" s="12" t="n"/>
      <c r="S166" s="13">
        <f>IF(OR(R166="",J166=""),"",R166/J166-1)</f>
        <v/>
      </c>
      <c r="T166" s="14">
        <f>IF(OR(L166="",R166="",J166=""),"",SQRT(4+(L166^2-4)*(R166/J166)^2))</f>
        <v/>
      </c>
      <c r="U166" s="7" t="n"/>
      <c r="V166" s="7" t="n"/>
    </row>
    <row r="167">
      <c r="A167" s="7" t="inlineStr">
        <is>
          <t>c-3/8-10-i1</t>
        </is>
      </c>
      <c r="B167" s="7" t="inlineStr">
        <is>
          <t>3/8</t>
        </is>
      </c>
      <c r="C167" s="7" t="inlineStr">
        <is>
          <t>c</t>
        </is>
      </c>
      <c r="D167" s="7" t="inlineStr">
        <is>
          <t>c</t>
        </is>
      </c>
      <c r="E167" s="7" t="n">
        <v>10</v>
      </c>
      <c r="F167" s="7" t="n">
        <v>1</v>
      </c>
      <c r="G167" s="8" t="n"/>
      <c r="H167" s="27" t="n"/>
      <c r="I167" s="27" t="n"/>
      <c r="J167" s="8" t="n"/>
      <c r="K167" s="8" t="n"/>
      <c r="L167" s="10" t="n"/>
      <c r="M167" s="8" t="n"/>
      <c r="N167" s="11">
        <f>IF(OR(J167="",H167="",I167=""),"",J167/((I167-H167)*1440))</f>
        <v/>
      </c>
      <c r="O167" s="7" t="n"/>
      <c r="P167" s="7" t="n"/>
      <c r="Q167" s="7" t="n"/>
      <c r="R167" s="12" t="n"/>
      <c r="S167" s="13">
        <f>IF(OR(R167="",J167=""),"",R167/J167-1)</f>
        <v/>
      </c>
      <c r="T167" s="14">
        <f>IF(OR(L167="",R167="",J167=""),"",SQRT(4+(L167^2-4)*(R167/J167)^2))</f>
        <v/>
      </c>
      <c r="U167" s="7" t="n"/>
      <c r="V167" s="7" t="n"/>
    </row>
    <row r="168">
      <c r="A168" s="7" t="inlineStr">
        <is>
          <t>c-3/8-10-i2</t>
        </is>
      </c>
      <c r="B168" s="7" t="inlineStr">
        <is>
          <t>3/8</t>
        </is>
      </c>
      <c r="C168" s="7" t="inlineStr">
        <is>
          <t>c</t>
        </is>
      </c>
      <c r="D168" s="7" t="inlineStr">
        <is>
          <t>c</t>
        </is>
      </c>
      <c r="E168" s="7" t="n">
        <v>10</v>
      </c>
      <c r="F168" s="7" t="n">
        <v>2</v>
      </c>
      <c r="G168" s="8" t="n"/>
      <c r="H168" s="27" t="n"/>
      <c r="I168" s="27" t="n"/>
      <c r="J168" s="8" t="n"/>
      <c r="K168" s="8" t="n"/>
      <c r="L168" s="10" t="n"/>
      <c r="M168" s="8" t="n"/>
      <c r="N168" s="11">
        <f>IF(OR(J168="",H168="",I168=""),"",J168/((I168-H168)*1440))</f>
        <v/>
      </c>
      <c r="O168" s="7" t="n"/>
      <c r="P168" s="7" t="n"/>
      <c r="Q168" s="7" t="n"/>
      <c r="R168" s="12" t="n"/>
      <c r="S168" s="13">
        <f>IF(OR(R168="",J168=""),"",R168/J168-1)</f>
        <v/>
      </c>
      <c r="T168" s="14">
        <f>IF(OR(L168="",R168="",J168=""),"",SQRT(4+(L168^2-4)*(R168/J168)^2))</f>
        <v/>
      </c>
      <c r="U168" s="7" t="n"/>
      <c r="V168" s="7" t="n"/>
    </row>
    <row r="169">
      <c r="A169" s="7" t="inlineStr">
        <is>
          <t>c-3/8-10-i3</t>
        </is>
      </c>
      <c r="B169" s="7" t="inlineStr">
        <is>
          <t>3/8</t>
        </is>
      </c>
      <c r="C169" s="7" t="inlineStr">
        <is>
          <t>c</t>
        </is>
      </c>
      <c r="D169" s="7" t="inlineStr">
        <is>
          <t>c</t>
        </is>
      </c>
      <c r="E169" s="7" t="n">
        <v>10</v>
      </c>
      <c r="F169" s="7" t="n">
        <v>3</v>
      </c>
      <c r="G169" s="8" t="n"/>
      <c r="H169" s="27" t="n"/>
      <c r="I169" s="27" t="n"/>
      <c r="J169" s="8" t="n"/>
      <c r="K169" s="8" t="n"/>
      <c r="L169" s="10" t="n"/>
      <c r="M169" s="8" t="n"/>
      <c r="N169" s="11">
        <f>IF(OR(J169="",H169="",I169=""),"",J169/((I169-H169)*1440))</f>
        <v/>
      </c>
      <c r="O169" s="7" t="n"/>
      <c r="P169" s="7" t="n"/>
      <c r="Q169" s="7" t="n"/>
      <c r="R169" s="12" t="n"/>
      <c r="S169" s="13">
        <f>IF(OR(R169="",J169=""),"",R169/J169-1)</f>
        <v/>
      </c>
      <c r="T169" s="14">
        <f>IF(OR(L169="",R169="",J169=""),"",SQRT(4+(L169^2-4)*(R169/J169)^2))</f>
        <v/>
      </c>
      <c r="U169" s="7" t="n"/>
      <c r="V169" s="7" t="n"/>
    </row>
    <row r="170">
      <c r="A170" s="7" t="inlineStr">
        <is>
          <t>K-1/2-0.5-i1</t>
        </is>
      </c>
      <c r="B170" s="7" t="inlineStr">
        <is>
          <t>1/2</t>
        </is>
      </c>
      <c r="C170" s="7" t="inlineStr">
        <is>
          <t>K</t>
        </is>
      </c>
      <c r="D170" s="7" t="inlineStr">
        <is>
          <t>Copper K</t>
        </is>
      </c>
      <c r="E170" s="7" t="n">
        <v>0.5</v>
      </c>
      <c r="F170" s="7" t="n">
        <v>1</v>
      </c>
      <c r="G170" s="8" t="n"/>
      <c r="H170" s="27" t="n"/>
      <c r="I170" s="27" t="n"/>
      <c r="J170" s="8" t="n"/>
      <c r="K170" s="8" t="n"/>
      <c r="L170" s="10" t="n"/>
      <c r="M170" s="8" t="n"/>
      <c r="N170" s="11">
        <f>IF(OR(J170="",H170="",I170=""),"",J170/((I170-H170)*1440))</f>
        <v/>
      </c>
      <c r="O170" s="7" t="n"/>
      <c r="P170" s="7" t="n"/>
      <c r="Q170" s="7" t="n"/>
      <c r="R170" s="12" t="n"/>
      <c r="S170" s="13">
        <f>IF(OR(R170="",J170=""),"",R170/J170-1)</f>
        <v/>
      </c>
      <c r="T170" s="14">
        <f>IF(OR(L170="",R170="",J170=""),"",SQRT(4+(L170^2-4)*(R170/J170)^2))</f>
        <v/>
      </c>
      <c r="U170" s="7" t="n"/>
      <c r="V170" s="7" t="n"/>
    </row>
    <row r="171">
      <c r="A171" s="7" t="inlineStr">
        <is>
          <t>K-1/2-0.5-i2</t>
        </is>
      </c>
      <c r="B171" s="7" t="inlineStr">
        <is>
          <t>1/2</t>
        </is>
      </c>
      <c r="C171" s="7" t="inlineStr">
        <is>
          <t>K</t>
        </is>
      </c>
      <c r="D171" s="7" t="inlineStr">
        <is>
          <t>Copper K</t>
        </is>
      </c>
      <c r="E171" s="7" t="n">
        <v>0.5</v>
      </c>
      <c r="F171" s="7" t="n">
        <v>2</v>
      </c>
      <c r="G171" s="8" t="n"/>
      <c r="H171" s="27" t="n"/>
      <c r="I171" s="27" t="n"/>
      <c r="J171" s="8" t="n"/>
      <c r="K171" s="8" t="n"/>
      <c r="L171" s="10" t="n"/>
      <c r="M171" s="8" t="n"/>
      <c r="N171" s="11">
        <f>IF(OR(J171="",H171="",I171=""),"",J171/((I171-H171)*1440))</f>
        <v/>
      </c>
      <c r="O171" s="7" t="n"/>
      <c r="P171" s="7" t="n"/>
      <c r="Q171" s="7" t="n"/>
      <c r="R171" s="12" t="n"/>
      <c r="S171" s="13">
        <f>IF(OR(R171="",J171=""),"",R171/J171-1)</f>
        <v/>
      </c>
      <c r="T171" s="14">
        <f>IF(OR(L171="",R171="",J171=""),"",SQRT(4+(L171^2-4)*(R171/J171)^2))</f>
        <v/>
      </c>
      <c r="U171" s="7" t="n"/>
      <c r="V171" s="7" t="n"/>
    </row>
    <row r="172">
      <c r="A172" s="7" t="inlineStr">
        <is>
          <t>K-1/2-0.5-i3</t>
        </is>
      </c>
      <c r="B172" s="7" t="inlineStr">
        <is>
          <t>1/2</t>
        </is>
      </c>
      <c r="C172" s="7" t="inlineStr">
        <is>
          <t>K</t>
        </is>
      </c>
      <c r="D172" s="7" t="inlineStr">
        <is>
          <t>Copper K</t>
        </is>
      </c>
      <c r="E172" s="7" t="n">
        <v>0.5</v>
      </c>
      <c r="F172" s="7" t="n">
        <v>3</v>
      </c>
      <c r="G172" s="8" t="n"/>
      <c r="H172" s="27" t="n"/>
      <c r="I172" s="27" t="n"/>
      <c r="J172" s="8" t="n"/>
      <c r="K172" s="8" t="n"/>
      <c r="L172" s="10" t="n"/>
      <c r="M172" s="8" t="n"/>
      <c r="N172" s="11">
        <f>IF(OR(J172="",H172="",I172=""),"",J172/((I172-H172)*1440))</f>
        <v/>
      </c>
      <c r="O172" s="7" t="n"/>
      <c r="P172" s="7" t="n"/>
      <c r="Q172" s="7" t="n"/>
      <c r="R172" s="12" t="n"/>
      <c r="S172" s="13">
        <f>IF(OR(R172="",J172=""),"",R172/J172-1)</f>
        <v/>
      </c>
      <c r="T172" s="14">
        <f>IF(OR(L172="",R172="",J172=""),"",SQRT(4+(L172^2-4)*(R172/J172)^2))</f>
        <v/>
      </c>
      <c r="U172" s="7" t="n"/>
      <c r="V172" s="7" t="n"/>
    </row>
    <row r="173">
      <c r="A173" s="7" t="inlineStr">
        <is>
          <t>K-1/2-1-i1</t>
        </is>
      </c>
      <c r="B173" s="7" t="inlineStr">
        <is>
          <t>1/2</t>
        </is>
      </c>
      <c r="C173" s="7" t="inlineStr">
        <is>
          <t>K</t>
        </is>
      </c>
      <c r="D173" s="7" t="inlineStr">
        <is>
          <t>Copper K</t>
        </is>
      </c>
      <c r="E173" s="7" t="n">
        <v>1</v>
      </c>
      <c r="F173" s="7" t="n">
        <v>1</v>
      </c>
      <c r="G173" s="8" t="n"/>
      <c r="H173" s="27" t="n"/>
      <c r="I173" s="27" t="n"/>
      <c r="J173" s="8" t="n"/>
      <c r="K173" s="8" t="n"/>
      <c r="L173" s="10" t="n"/>
      <c r="M173" s="8" t="n"/>
      <c r="N173" s="11">
        <f>IF(OR(J173="",H173="",I173=""),"",J173/((I173-H173)*1440))</f>
        <v/>
      </c>
      <c r="O173" s="7" t="n"/>
      <c r="P173" s="7" t="n"/>
      <c r="Q173" s="7" t="n"/>
      <c r="R173" s="12" t="n"/>
      <c r="S173" s="13">
        <f>IF(OR(R173="",J173=""),"",R173/J173-1)</f>
        <v/>
      </c>
      <c r="T173" s="14">
        <f>IF(OR(L173="",R173="",J173=""),"",SQRT(4+(L173^2-4)*(R173/J173)^2))</f>
        <v/>
      </c>
      <c r="U173" s="7" t="n"/>
      <c r="V173" s="7" t="n"/>
    </row>
    <row r="174">
      <c r="A174" s="7" t="inlineStr">
        <is>
          <t>K-1/2-1-i2</t>
        </is>
      </c>
      <c r="B174" s="7" t="inlineStr">
        <is>
          <t>1/2</t>
        </is>
      </c>
      <c r="C174" s="7" t="inlineStr">
        <is>
          <t>K</t>
        </is>
      </c>
      <c r="D174" s="7" t="inlineStr">
        <is>
          <t>Copper K</t>
        </is>
      </c>
      <c r="E174" s="7" t="n">
        <v>1</v>
      </c>
      <c r="F174" s="7" t="n">
        <v>2</v>
      </c>
      <c r="G174" s="8" t="n"/>
      <c r="H174" s="27" t="n"/>
      <c r="I174" s="27" t="n"/>
      <c r="J174" s="8" t="n"/>
      <c r="K174" s="8" t="n"/>
      <c r="L174" s="10" t="n"/>
      <c r="M174" s="8" t="n"/>
      <c r="N174" s="11">
        <f>IF(OR(J174="",H174="",I174=""),"",J174/((I174-H174)*1440))</f>
        <v/>
      </c>
      <c r="O174" s="7" t="n"/>
      <c r="P174" s="7" t="n"/>
      <c r="Q174" s="7" t="n"/>
      <c r="R174" s="12" t="n"/>
      <c r="S174" s="13">
        <f>IF(OR(R174="",J174=""),"",R174/J174-1)</f>
        <v/>
      </c>
      <c r="T174" s="14">
        <f>IF(OR(L174="",R174="",J174=""),"",SQRT(4+(L174^2-4)*(R174/J174)^2))</f>
        <v/>
      </c>
      <c r="U174" s="7" t="n"/>
      <c r="V174" s="7" t="n"/>
    </row>
    <row r="175">
      <c r="A175" s="7" t="inlineStr">
        <is>
          <t>K-1/2-1-i3</t>
        </is>
      </c>
      <c r="B175" s="7" t="inlineStr">
        <is>
          <t>1/2</t>
        </is>
      </c>
      <c r="C175" s="7" t="inlineStr">
        <is>
          <t>K</t>
        </is>
      </c>
      <c r="D175" s="7" t="inlineStr">
        <is>
          <t>Copper K</t>
        </is>
      </c>
      <c r="E175" s="7" t="n">
        <v>1</v>
      </c>
      <c r="F175" s="7" t="n">
        <v>3</v>
      </c>
      <c r="G175" s="8" t="n"/>
      <c r="H175" s="27" t="n"/>
      <c r="I175" s="27" t="n"/>
      <c r="J175" s="8" t="n"/>
      <c r="K175" s="8" t="n"/>
      <c r="L175" s="10" t="n"/>
      <c r="M175" s="8" t="n"/>
      <c r="N175" s="11">
        <f>IF(OR(J175="",H175="",I175=""),"",J175/((I175-H175)*1440))</f>
        <v/>
      </c>
      <c r="O175" s="7" t="n"/>
      <c r="P175" s="7" t="n"/>
      <c r="Q175" s="7" t="n"/>
      <c r="R175" s="12" t="n"/>
      <c r="S175" s="13">
        <f>IF(OR(R175="",J175=""),"",R175/J175-1)</f>
        <v/>
      </c>
      <c r="T175" s="14">
        <f>IF(OR(L175="",R175="",J175=""),"",SQRT(4+(L175^2-4)*(R175/J175)^2))</f>
        <v/>
      </c>
      <c r="U175" s="7" t="n"/>
      <c r="V175" s="7" t="n"/>
    </row>
    <row r="176">
      <c r="A176" s="7" t="inlineStr">
        <is>
          <t>K-1/2-3-i1</t>
        </is>
      </c>
      <c r="B176" s="7" t="inlineStr">
        <is>
          <t>1/2</t>
        </is>
      </c>
      <c r="C176" s="7" t="inlineStr">
        <is>
          <t>K</t>
        </is>
      </c>
      <c r="D176" s="7" t="inlineStr">
        <is>
          <t>Copper K</t>
        </is>
      </c>
      <c r="E176" s="7" t="n">
        <v>3</v>
      </c>
      <c r="F176" s="7" t="n">
        <v>1</v>
      </c>
      <c r="G176" s="8" t="n"/>
      <c r="H176" s="27" t="n"/>
      <c r="I176" s="27" t="n"/>
      <c r="J176" s="8" t="n"/>
      <c r="K176" s="8" t="n"/>
      <c r="L176" s="10" t="n"/>
      <c r="M176" s="8" t="n"/>
      <c r="N176" s="11">
        <f>IF(OR(J176="",H176="",I176=""),"",J176/((I176-H176)*1440))</f>
        <v/>
      </c>
      <c r="O176" s="7" t="n"/>
      <c r="P176" s="7" t="n"/>
      <c r="Q176" s="7" t="n"/>
      <c r="R176" s="12" t="n"/>
      <c r="S176" s="13">
        <f>IF(OR(R176="",J176=""),"",R176/J176-1)</f>
        <v/>
      </c>
      <c r="T176" s="14">
        <f>IF(OR(L176="",R176="",J176=""),"",SQRT(4+(L176^2-4)*(R176/J176)^2))</f>
        <v/>
      </c>
      <c r="U176" s="7" t="n"/>
      <c r="V176" s="7" t="n"/>
    </row>
    <row r="177">
      <c r="A177" s="7" t="inlineStr">
        <is>
          <t>K-1/2-3-i2</t>
        </is>
      </c>
      <c r="B177" s="7" t="inlineStr">
        <is>
          <t>1/2</t>
        </is>
      </c>
      <c r="C177" s="7" t="inlineStr">
        <is>
          <t>K</t>
        </is>
      </c>
      <c r="D177" s="7" t="inlineStr">
        <is>
          <t>Copper K</t>
        </is>
      </c>
      <c r="E177" s="7" t="n">
        <v>3</v>
      </c>
      <c r="F177" s="7" t="n">
        <v>2</v>
      </c>
      <c r="G177" s="8" t="n"/>
      <c r="H177" s="27" t="n"/>
      <c r="I177" s="27" t="n"/>
      <c r="J177" s="8" t="n"/>
      <c r="K177" s="8" t="n"/>
      <c r="L177" s="10" t="n"/>
      <c r="M177" s="8" t="n"/>
      <c r="N177" s="11">
        <f>IF(OR(J177="",H177="",I177=""),"",J177/((I177-H177)*1440))</f>
        <v/>
      </c>
      <c r="O177" s="7" t="n"/>
      <c r="P177" s="7" t="n"/>
      <c r="Q177" s="7" t="n"/>
      <c r="R177" s="12" t="n"/>
      <c r="S177" s="13">
        <f>IF(OR(R177="",J177=""),"",R177/J177-1)</f>
        <v/>
      </c>
      <c r="T177" s="14">
        <f>IF(OR(L177="",R177="",J177=""),"",SQRT(4+(L177^2-4)*(R177/J177)^2))</f>
        <v/>
      </c>
      <c r="U177" s="7" t="n"/>
      <c r="V177" s="7" t="n"/>
    </row>
    <row r="178">
      <c r="A178" s="7" t="inlineStr">
        <is>
          <t>K-1/2-3-i3</t>
        </is>
      </c>
      <c r="B178" s="7" t="inlineStr">
        <is>
          <t>1/2</t>
        </is>
      </c>
      <c r="C178" s="7" t="inlineStr">
        <is>
          <t>K</t>
        </is>
      </c>
      <c r="D178" s="7" t="inlineStr">
        <is>
          <t>Copper K</t>
        </is>
      </c>
      <c r="E178" s="7" t="n">
        <v>3</v>
      </c>
      <c r="F178" s="7" t="n">
        <v>3</v>
      </c>
      <c r="G178" s="8" t="n"/>
      <c r="H178" s="27" t="n"/>
      <c r="I178" s="27" t="n"/>
      <c r="J178" s="8" t="n"/>
      <c r="K178" s="8" t="n"/>
      <c r="L178" s="10" t="n"/>
      <c r="M178" s="8" t="n"/>
      <c r="N178" s="11">
        <f>IF(OR(J178="",H178="",I178=""),"",J178/((I178-H178)*1440))</f>
        <v/>
      </c>
      <c r="O178" s="7" t="n"/>
      <c r="P178" s="7" t="n"/>
      <c r="Q178" s="7" t="n"/>
      <c r="R178" s="12" t="n"/>
      <c r="S178" s="13">
        <f>IF(OR(R178="",J178=""),"",R178/J178-1)</f>
        <v/>
      </c>
      <c r="T178" s="14">
        <f>IF(OR(L178="",R178="",J178=""),"",SQRT(4+(L178^2-4)*(R178/J178)^2))</f>
        <v/>
      </c>
      <c r="U178" s="7" t="n"/>
      <c r="V178" s="7" t="n"/>
    </row>
    <row r="179">
      <c r="A179" s="7" t="inlineStr">
        <is>
          <t>K-1/2-5-i1</t>
        </is>
      </c>
      <c r="B179" s="7" t="inlineStr">
        <is>
          <t>1/2</t>
        </is>
      </c>
      <c r="C179" s="7" t="inlineStr">
        <is>
          <t>K</t>
        </is>
      </c>
      <c r="D179" s="7" t="inlineStr">
        <is>
          <t>Copper K</t>
        </is>
      </c>
      <c r="E179" s="7" t="n">
        <v>5</v>
      </c>
      <c r="F179" s="7" t="n">
        <v>1</v>
      </c>
      <c r="G179" s="8" t="n"/>
      <c r="H179" s="27" t="n"/>
      <c r="I179" s="27" t="n"/>
      <c r="J179" s="8" t="n"/>
      <c r="K179" s="8" t="n"/>
      <c r="L179" s="10" t="n"/>
      <c r="M179" s="8" t="n"/>
      <c r="N179" s="11">
        <f>IF(OR(J179="",H179="",I179=""),"",J179/((I179-H179)*1440))</f>
        <v/>
      </c>
      <c r="O179" s="7" t="n"/>
      <c r="P179" s="7" t="n"/>
      <c r="Q179" s="7" t="n"/>
      <c r="R179" s="12" t="n"/>
      <c r="S179" s="13">
        <f>IF(OR(R179="",J179=""),"",R179/J179-1)</f>
        <v/>
      </c>
      <c r="T179" s="14">
        <f>IF(OR(L179="",R179="",J179=""),"",SQRT(4+(L179^2-4)*(R179/J179)^2))</f>
        <v/>
      </c>
      <c r="U179" s="7" t="n"/>
      <c r="V179" s="7" t="n"/>
    </row>
    <row r="180">
      <c r="A180" s="7" t="inlineStr">
        <is>
          <t>K-1/2-5-i2</t>
        </is>
      </c>
      <c r="B180" s="7" t="inlineStr">
        <is>
          <t>1/2</t>
        </is>
      </c>
      <c r="C180" s="7" t="inlineStr">
        <is>
          <t>K</t>
        </is>
      </c>
      <c r="D180" s="7" t="inlineStr">
        <is>
          <t>Copper K</t>
        </is>
      </c>
      <c r="E180" s="7" t="n">
        <v>5</v>
      </c>
      <c r="F180" s="7" t="n">
        <v>2</v>
      </c>
      <c r="G180" s="8" t="n"/>
      <c r="H180" s="27" t="n"/>
      <c r="I180" s="27" t="n"/>
      <c r="J180" s="8" t="n"/>
      <c r="K180" s="8" t="n"/>
      <c r="L180" s="10" t="n"/>
      <c r="M180" s="8" t="n"/>
      <c r="N180" s="11">
        <f>IF(OR(J180="",H180="",I180=""),"",J180/((I180-H180)*1440))</f>
        <v/>
      </c>
      <c r="O180" s="7" t="n"/>
      <c r="P180" s="7" t="n"/>
      <c r="Q180" s="7" t="n"/>
      <c r="R180" s="12" t="n"/>
      <c r="S180" s="13">
        <f>IF(OR(R180="",J180=""),"",R180/J180-1)</f>
        <v/>
      </c>
      <c r="T180" s="14">
        <f>IF(OR(L180="",R180="",J180=""),"",SQRT(4+(L180^2-4)*(R180/J180)^2))</f>
        <v/>
      </c>
      <c r="U180" s="7" t="n"/>
      <c r="V180" s="7" t="n"/>
    </row>
    <row r="181">
      <c r="A181" s="7" t="inlineStr">
        <is>
          <t>K-1/2-5-i3</t>
        </is>
      </c>
      <c r="B181" s="7" t="inlineStr">
        <is>
          <t>1/2</t>
        </is>
      </c>
      <c r="C181" s="7" t="inlineStr">
        <is>
          <t>K</t>
        </is>
      </c>
      <c r="D181" s="7" t="inlineStr">
        <is>
          <t>Copper K</t>
        </is>
      </c>
      <c r="E181" s="7" t="n">
        <v>5</v>
      </c>
      <c r="F181" s="7" t="n">
        <v>3</v>
      </c>
      <c r="G181" s="8" t="n"/>
      <c r="H181" s="27" t="n"/>
      <c r="I181" s="27" t="n"/>
      <c r="J181" s="8" t="n"/>
      <c r="K181" s="8" t="n"/>
      <c r="L181" s="10" t="n"/>
      <c r="M181" s="8" t="n"/>
      <c r="N181" s="11">
        <f>IF(OR(J181="",H181="",I181=""),"",J181/((I181-H181)*1440))</f>
        <v/>
      </c>
      <c r="O181" s="7" t="n"/>
      <c r="P181" s="7" t="n"/>
      <c r="Q181" s="7" t="n"/>
      <c r="R181" s="12" t="n"/>
      <c r="S181" s="13">
        <f>IF(OR(R181="",J181=""),"",R181/J181-1)</f>
        <v/>
      </c>
      <c r="T181" s="14">
        <f>IF(OR(L181="",R181="",J181=""),"",SQRT(4+(L181^2-4)*(R181/J181)^2))</f>
        <v/>
      </c>
      <c r="U181" s="7" t="n"/>
      <c r="V181" s="7" t="n"/>
    </row>
    <row r="182">
      <c r="A182" s="7" t="inlineStr">
        <is>
          <t>K-1/2-10-i1</t>
        </is>
      </c>
      <c r="B182" s="7" t="inlineStr">
        <is>
          <t>1/2</t>
        </is>
      </c>
      <c r="C182" s="7" t="inlineStr">
        <is>
          <t>K</t>
        </is>
      </c>
      <c r="D182" s="7" t="inlineStr">
        <is>
          <t>Copper K</t>
        </is>
      </c>
      <c r="E182" s="7" t="n">
        <v>10</v>
      </c>
      <c r="F182" s="7" t="n">
        <v>1</v>
      </c>
      <c r="G182" s="8" t="n"/>
      <c r="H182" s="27" t="n"/>
      <c r="I182" s="27" t="n"/>
      <c r="J182" s="8" t="n"/>
      <c r="K182" s="8" t="n"/>
      <c r="L182" s="10" t="n"/>
      <c r="M182" s="8" t="n"/>
      <c r="N182" s="11">
        <f>IF(OR(J182="",H182="",I182=""),"",J182/((I182-H182)*1440))</f>
        <v/>
      </c>
      <c r="O182" s="7" t="n"/>
      <c r="P182" s="7" t="n"/>
      <c r="Q182" s="7" t="n"/>
      <c r="R182" s="12" t="n"/>
      <c r="S182" s="13">
        <f>IF(OR(R182="",J182=""),"",R182/J182-1)</f>
        <v/>
      </c>
      <c r="T182" s="14">
        <f>IF(OR(L182="",R182="",J182=""),"",SQRT(4+(L182^2-4)*(R182/J182)^2))</f>
        <v/>
      </c>
      <c r="U182" s="7" t="n"/>
      <c r="V182" s="7" t="n"/>
    </row>
    <row r="183">
      <c r="A183" s="7" t="inlineStr">
        <is>
          <t>K-1/2-10-i2</t>
        </is>
      </c>
      <c r="B183" s="7" t="inlineStr">
        <is>
          <t>1/2</t>
        </is>
      </c>
      <c r="C183" s="7" t="inlineStr">
        <is>
          <t>K</t>
        </is>
      </c>
      <c r="D183" s="7" t="inlineStr">
        <is>
          <t>Copper K</t>
        </is>
      </c>
      <c r="E183" s="7" t="n">
        <v>10</v>
      </c>
      <c r="F183" s="7" t="n">
        <v>2</v>
      </c>
      <c r="G183" s="8" t="n"/>
      <c r="H183" s="27" t="n"/>
      <c r="I183" s="27" t="n"/>
      <c r="J183" s="8" t="n"/>
      <c r="K183" s="8" t="n"/>
      <c r="L183" s="10" t="n"/>
      <c r="M183" s="8" t="n"/>
      <c r="N183" s="11">
        <f>IF(OR(J183="",H183="",I183=""),"",J183/((I183-H183)*1440))</f>
        <v/>
      </c>
      <c r="O183" s="7" t="n"/>
      <c r="P183" s="7" t="n"/>
      <c r="Q183" s="7" t="n"/>
      <c r="R183" s="12" t="n"/>
      <c r="S183" s="13">
        <f>IF(OR(R183="",J183=""),"",R183/J183-1)</f>
        <v/>
      </c>
      <c r="T183" s="14">
        <f>IF(OR(L183="",R183="",J183=""),"",SQRT(4+(L183^2-4)*(R183/J183)^2))</f>
        <v/>
      </c>
      <c r="U183" s="7" t="n"/>
      <c r="V183" s="7" t="n"/>
    </row>
    <row r="184">
      <c r="A184" s="7" t="inlineStr">
        <is>
          <t>K-1/2-10-i3</t>
        </is>
      </c>
      <c r="B184" s="7" t="inlineStr">
        <is>
          <t>1/2</t>
        </is>
      </c>
      <c r="C184" s="7" t="inlineStr">
        <is>
          <t>K</t>
        </is>
      </c>
      <c r="D184" s="7" t="inlineStr">
        <is>
          <t>Copper K</t>
        </is>
      </c>
      <c r="E184" s="7" t="n">
        <v>10</v>
      </c>
      <c r="F184" s="7" t="n">
        <v>3</v>
      </c>
      <c r="G184" s="8" t="n"/>
      <c r="H184" s="27" t="n"/>
      <c r="I184" s="27" t="n"/>
      <c r="J184" s="8" t="n"/>
      <c r="K184" s="8" t="n"/>
      <c r="L184" s="10" t="n"/>
      <c r="M184" s="8" t="n"/>
      <c r="N184" s="11">
        <f>IF(OR(J184="",H184="",I184=""),"",J184/((I184-H184)*1440))</f>
        <v/>
      </c>
      <c r="O184" s="7" t="n"/>
      <c r="P184" s="7" t="n"/>
      <c r="Q184" s="7" t="n"/>
      <c r="R184" s="12" t="n"/>
      <c r="S184" s="13">
        <f>IF(OR(R184="",J184=""),"",R184/J184-1)</f>
        <v/>
      </c>
      <c r="T184" s="14">
        <f>IF(OR(L184="",R184="",J184=""),"",SQRT(4+(L184^2-4)*(R184/J184)^2))</f>
        <v/>
      </c>
      <c r="U184" s="7" t="n"/>
      <c r="V184" s="7" t="n"/>
    </row>
    <row r="185">
      <c r="A185" s="7" t="inlineStr">
        <is>
          <t>L-1/2-0.5-i1</t>
        </is>
      </c>
      <c r="B185" s="7" t="inlineStr">
        <is>
          <t>1/2</t>
        </is>
      </c>
      <c r="C185" s="7" t="inlineStr">
        <is>
          <t>L</t>
        </is>
      </c>
      <c r="D185" s="7" t="inlineStr">
        <is>
          <t>Copper L</t>
        </is>
      </c>
      <c r="E185" s="7" t="n">
        <v>0.5</v>
      </c>
      <c r="F185" s="7" t="n">
        <v>1</v>
      </c>
      <c r="G185" s="8" t="n"/>
      <c r="H185" s="27" t="n"/>
      <c r="I185" s="27" t="n"/>
      <c r="J185" s="8" t="n"/>
      <c r="K185" s="8" t="n"/>
      <c r="L185" s="10" t="n"/>
      <c r="M185" s="8" t="n"/>
      <c r="N185" s="11">
        <f>IF(OR(J185="",H185="",I185=""),"",J185/((I185-H185)*1440))</f>
        <v/>
      </c>
      <c r="O185" s="7" t="n"/>
      <c r="P185" s="7" t="n"/>
      <c r="Q185" s="7" t="n"/>
      <c r="R185" s="12" t="n"/>
      <c r="S185" s="13">
        <f>IF(OR(R185="",J185=""),"",R185/J185-1)</f>
        <v/>
      </c>
      <c r="T185" s="14">
        <f>IF(OR(L185="",R185="",J185=""),"",SQRT(4+(L185^2-4)*(R185/J185)^2))</f>
        <v/>
      </c>
      <c r="U185" s="7" t="n"/>
      <c r="V185" s="7" t="n"/>
    </row>
    <row r="186">
      <c r="A186" s="7" t="inlineStr">
        <is>
          <t>L-1/2-0.5-i2</t>
        </is>
      </c>
      <c r="B186" s="7" t="inlineStr">
        <is>
          <t>1/2</t>
        </is>
      </c>
      <c r="C186" s="7" t="inlineStr">
        <is>
          <t>L</t>
        </is>
      </c>
      <c r="D186" s="7" t="inlineStr">
        <is>
          <t>Copper L</t>
        </is>
      </c>
      <c r="E186" s="7" t="n">
        <v>0.5</v>
      </c>
      <c r="F186" s="7" t="n">
        <v>2</v>
      </c>
      <c r="G186" s="8" t="n"/>
      <c r="H186" s="27" t="n"/>
      <c r="I186" s="27" t="n"/>
      <c r="J186" s="8" t="n"/>
      <c r="K186" s="8" t="n"/>
      <c r="L186" s="10" t="n"/>
      <c r="M186" s="8" t="n"/>
      <c r="N186" s="11">
        <f>IF(OR(J186="",H186="",I186=""),"",J186/((I186-H186)*1440))</f>
        <v/>
      </c>
      <c r="O186" s="7" t="n"/>
      <c r="P186" s="7" t="n"/>
      <c r="Q186" s="7" t="n"/>
      <c r="R186" s="12" t="n"/>
      <c r="S186" s="13">
        <f>IF(OR(R186="",J186=""),"",R186/J186-1)</f>
        <v/>
      </c>
      <c r="T186" s="14">
        <f>IF(OR(L186="",R186="",J186=""),"",SQRT(4+(L186^2-4)*(R186/J186)^2))</f>
        <v/>
      </c>
      <c r="U186" s="7" t="n"/>
      <c r="V186" s="7" t="n"/>
    </row>
    <row r="187">
      <c r="A187" s="7" t="inlineStr">
        <is>
          <t>L-1/2-0.5-i3</t>
        </is>
      </c>
      <c r="B187" s="7" t="inlineStr">
        <is>
          <t>1/2</t>
        </is>
      </c>
      <c r="C187" s="7" t="inlineStr">
        <is>
          <t>L</t>
        </is>
      </c>
      <c r="D187" s="7" t="inlineStr">
        <is>
          <t>Copper L</t>
        </is>
      </c>
      <c r="E187" s="7" t="n">
        <v>0.5</v>
      </c>
      <c r="F187" s="7" t="n">
        <v>3</v>
      </c>
      <c r="G187" s="8" t="n"/>
      <c r="H187" s="27" t="n"/>
      <c r="I187" s="27" t="n"/>
      <c r="J187" s="8" t="n"/>
      <c r="K187" s="8" t="n"/>
      <c r="L187" s="10" t="n"/>
      <c r="M187" s="8" t="n"/>
      <c r="N187" s="11">
        <f>IF(OR(J187="",H187="",I187=""),"",J187/((I187-H187)*1440))</f>
        <v/>
      </c>
      <c r="O187" s="7" t="n"/>
      <c r="P187" s="7" t="n"/>
      <c r="Q187" s="7" t="n"/>
      <c r="R187" s="12" t="n"/>
      <c r="S187" s="13">
        <f>IF(OR(R187="",J187=""),"",R187/J187-1)</f>
        <v/>
      </c>
      <c r="T187" s="14">
        <f>IF(OR(L187="",R187="",J187=""),"",SQRT(4+(L187^2-4)*(R187/J187)^2))</f>
        <v/>
      </c>
      <c r="U187" s="7" t="n"/>
      <c r="V187" s="7" t="n"/>
    </row>
    <row r="188">
      <c r="A188" s="7" t="inlineStr">
        <is>
          <t>L-1/2-1-i1</t>
        </is>
      </c>
      <c r="B188" s="7" t="inlineStr">
        <is>
          <t>1/2</t>
        </is>
      </c>
      <c r="C188" s="7" t="inlineStr">
        <is>
          <t>L</t>
        </is>
      </c>
      <c r="D188" s="7" t="inlineStr">
        <is>
          <t>Copper L</t>
        </is>
      </c>
      <c r="E188" s="7" t="n">
        <v>1</v>
      </c>
      <c r="F188" s="7" t="n">
        <v>1</v>
      </c>
      <c r="G188" s="8" t="n"/>
      <c r="H188" s="27" t="n"/>
      <c r="I188" s="27" t="n"/>
      <c r="J188" s="8" t="n"/>
      <c r="K188" s="8" t="n"/>
      <c r="L188" s="10" t="n"/>
      <c r="M188" s="8" t="n"/>
      <c r="N188" s="11">
        <f>IF(OR(J188="",H188="",I188=""),"",J188/((I188-H188)*1440))</f>
        <v/>
      </c>
      <c r="O188" s="7" t="n"/>
      <c r="P188" s="7" t="n"/>
      <c r="Q188" s="7" t="n"/>
      <c r="R188" s="12" t="n"/>
      <c r="S188" s="13">
        <f>IF(OR(R188="",J188=""),"",R188/J188-1)</f>
        <v/>
      </c>
      <c r="T188" s="14">
        <f>IF(OR(L188="",R188="",J188=""),"",SQRT(4+(L188^2-4)*(R188/J188)^2))</f>
        <v/>
      </c>
      <c r="U188" s="7" t="n"/>
      <c r="V188" s="7" t="n"/>
    </row>
    <row r="189">
      <c r="A189" s="7" t="inlineStr">
        <is>
          <t>L-1/2-1-i2</t>
        </is>
      </c>
      <c r="B189" s="7" t="inlineStr">
        <is>
          <t>1/2</t>
        </is>
      </c>
      <c r="C189" s="7" t="inlineStr">
        <is>
          <t>L</t>
        </is>
      </c>
      <c r="D189" s="7" t="inlineStr">
        <is>
          <t>Copper L</t>
        </is>
      </c>
      <c r="E189" s="7" t="n">
        <v>1</v>
      </c>
      <c r="F189" s="7" t="n">
        <v>2</v>
      </c>
      <c r="G189" s="8" t="n"/>
      <c r="H189" s="27" t="n"/>
      <c r="I189" s="27" t="n"/>
      <c r="J189" s="8" t="n"/>
      <c r="K189" s="8" t="n"/>
      <c r="L189" s="10" t="n"/>
      <c r="M189" s="8" t="n"/>
      <c r="N189" s="11">
        <f>IF(OR(J189="",H189="",I189=""),"",J189/((I189-H189)*1440))</f>
        <v/>
      </c>
      <c r="O189" s="7" t="n"/>
      <c r="P189" s="7" t="n"/>
      <c r="Q189" s="7" t="n"/>
      <c r="R189" s="12" t="n"/>
      <c r="S189" s="13">
        <f>IF(OR(R189="",J189=""),"",R189/J189-1)</f>
        <v/>
      </c>
      <c r="T189" s="14">
        <f>IF(OR(L189="",R189="",J189=""),"",SQRT(4+(L189^2-4)*(R189/J189)^2))</f>
        <v/>
      </c>
      <c r="U189" s="7" t="n"/>
      <c r="V189" s="7" t="n"/>
    </row>
    <row r="190">
      <c r="A190" s="7" t="inlineStr">
        <is>
          <t>L-1/2-1-i3</t>
        </is>
      </c>
      <c r="B190" s="7" t="inlineStr">
        <is>
          <t>1/2</t>
        </is>
      </c>
      <c r="C190" s="7" t="inlineStr">
        <is>
          <t>L</t>
        </is>
      </c>
      <c r="D190" s="7" t="inlineStr">
        <is>
          <t>Copper L</t>
        </is>
      </c>
      <c r="E190" s="7" t="n">
        <v>1</v>
      </c>
      <c r="F190" s="7" t="n">
        <v>3</v>
      </c>
      <c r="G190" s="8" t="n"/>
      <c r="H190" s="27" t="n"/>
      <c r="I190" s="27" t="n"/>
      <c r="J190" s="8" t="n"/>
      <c r="K190" s="8" t="n"/>
      <c r="L190" s="10" t="n"/>
      <c r="M190" s="8" t="n"/>
      <c r="N190" s="11">
        <f>IF(OR(J190="",H190="",I190=""),"",J190/((I190-H190)*1440))</f>
        <v/>
      </c>
      <c r="O190" s="7" t="n"/>
      <c r="P190" s="7" t="n"/>
      <c r="Q190" s="7" t="n"/>
      <c r="R190" s="12" t="n"/>
      <c r="S190" s="13">
        <f>IF(OR(R190="",J190=""),"",R190/J190-1)</f>
        <v/>
      </c>
      <c r="T190" s="14">
        <f>IF(OR(L190="",R190="",J190=""),"",SQRT(4+(L190^2-4)*(R190/J190)^2))</f>
        <v/>
      </c>
      <c r="U190" s="7" t="n"/>
      <c r="V190" s="7" t="n"/>
    </row>
    <row r="191">
      <c r="A191" s="7" t="inlineStr">
        <is>
          <t>L-1/2-3-i1</t>
        </is>
      </c>
      <c r="B191" s="7" t="inlineStr">
        <is>
          <t>1/2</t>
        </is>
      </c>
      <c r="C191" s="7" t="inlineStr">
        <is>
          <t>L</t>
        </is>
      </c>
      <c r="D191" s="7" t="inlineStr">
        <is>
          <t>Copper L</t>
        </is>
      </c>
      <c r="E191" s="7" t="n">
        <v>3</v>
      </c>
      <c r="F191" s="7" t="n">
        <v>1</v>
      </c>
      <c r="G191" s="8" t="n"/>
      <c r="H191" s="27" t="n"/>
      <c r="I191" s="27" t="n"/>
      <c r="J191" s="8" t="n"/>
      <c r="K191" s="8" t="n"/>
      <c r="L191" s="10" t="n"/>
      <c r="M191" s="8" t="n"/>
      <c r="N191" s="11">
        <f>IF(OR(J191="",H191="",I191=""),"",J191/((I191-H191)*1440))</f>
        <v/>
      </c>
      <c r="O191" s="7" t="n"/>
      <c r="P191" s="7" t="n"/>
      <c r="Q191" s="7" t="n"/>
      <c r="R191" s="12" t="n"/>
      <c r="S191" s="13">
        <f>IF(OR(R191="",J191=""),"",R191/J191-1)</f>
        <v/>
      </c>
      <c r="T191" s="14">
        <f>IF(OR(L191="",R191="",J191=""),"",SQRT(4+(L191^2-4)*(R191/J191)^2))</f>
        <v/>
      </c>
      <c r="U191" s="7" t="n"/>
      <c r="V191" s="7" t="n"/>
    </row>
    <row r="192">
      <c r="A192" s="7" t="inlineStr">
        <is>
          <t>L-1/2-3-i2</t>
        </is>
      </c>
      <c r="B192" s="7" t="inlineStr">
        <is>
          <t>1/2</t>
        </is>
      </c>
      <c r="C192" s="7" t="inlineStr">
        <is>
          <t>L</t>
        </is>
      </c>
      <c r="D192" s="7" t="inlineStr">
        <is>
          <t>Copper L</t>
        </is>
      </c>
      <c r="E192" s="7" t="n">
        <v>3</v>
      </c>
      <c r="F192" s="7" t="n">
        <v>2</v>
      </c>
      <c r="G192" s="8" t="n"/>
      <c r="H192" s="27" t="n"/>
      <c r="I192" s="27" t="n"/>
      <c r="J192" s="8" t="n"/>
      <c r="K192" s="8" t="n"/>
      <c r="L192" s="10" t="n"/>
      <c r="M192" s="8" t="n"/>
      <c r="N192" s="11">
        <f>IF(OR(J192="",H192="",I192=""),"",J192/((I192-H192)*1440))</f>
        <v/>
      </c>
      <c r="O192" s="7" t="n"/>
      <c r="P192" s="7" t="n"/>
      <c r="Q192" s="7" t="n"/>
      <c r="R192" s="12" t="n"/>
      <c r="S192" s="13">
        <f>IF(OR(R192="",J192=""),"",R192/J192-1)</f>
        <v/>
      </c>
      <c r="T192" s="14">
        <f>IF(OR(L192="",R192="",J192=""),"",SQRT(4+(L192^2-4)*(R192/J192)^2))</f>
        <v/>
      </c>
      <c r="U192" s="7" t="n"/>
      <c r="V192" s="7" t="n"/>
    </row>
    <row r="193">
      <c r="A193" s="7" t="inlineStr">
        <is>
          <t>L-1/2-3-i3</t>
        </is>
      </c>
      <c r="B193" s="7" t="inlineStr">
        <is>
          <t>1/2</t>
        </is>
      </c>
      <c r="C193" s="7" t="inlineStr">
        <is>
          <t>L</t>
        </is>
      </c>
      <c r="D193" s="7" t="inlineStr">
        <is>
          <t>Copper L</t>
        </is>
      </c>
      <c r="E193" s="7" t="n">
        <v>3</v>
      </c>
      <c r="F193" s="7" t="n">
        <v>3</v>
      </c>
      <c r="G193" s="8" t="n"/>
      <c r="H193" s="27" t="n"/>
      <c r="I193" s="27" t="n"/>
      <c r="J193" s="8" t="n"/>
      <c r="K193" s="8" t="n"/>
      <c r="L193" s="10" t="n"/>
      <c r="M193" s="8" t="n"/>
      <c r="N193" s="11">
        <f>IF(OR(J193="",H193="",I193=""),"",J193/((I193-H193)*1440))</f>
        <v/>
      </c>
      <c r="O193" s="7" t="n"/>
      <c r="P193" s="7" t="n"/>
      <c r="Q193" s="7" t="n"/>
      <c r="R193" s="12" t="n"/>
      <c r="S193" s="13">
        <f>IF(OR(R193="",J193=""),"",R193/J193-1)</f>
        <v/>
      </c>
      <c r="T193" s="14">
        <f>IF(OR(L193="",R193="",J193=""),"",SQRT(4+(L193^2-4)*(R193/J193)^2))</f>
        <v/>
      </c>
      <c r="U193" s="7" t="n"/>
      <c r="V193" s="7" t="n"/>
    </row>
    <row r="194">
      <c r="A194" s="7" t="inlineStr">
        <is>
          <t>L-1/2-5-i1</t>
        </is>
      </c>
      <c r="B194" s="7" t="inlineStr">
        <is>
          <t>1/2</t>
        </is>
      </c>
      <c r="C194" s="7" t="inlineStr">
        <is>
          <t>L</t>
        </is>
      </c>
      <c r="D194" s="7" t="inlineStr">
        <is>
          <t>Copper L</t>
        </is>
      </c>
      <c r="E194" s="7" t="n">
        <v>5</v>
      </c>
      <c r="F194" s="7" t="n">
        <v>1</v>
      </c>
      <c r="G194" s="8" t="n"/>
      <c r="H194" s="27" t="n"/>
      <c r="I194" s="27" t="n"/>
      <c r="J194" s="8" t="n"/>
      <c r="K194" s="8" t="n"/>
      <c r="L194" s="10" t="n"/>
      <c r="M194" s="8" t="n"/>
      <c r="N194" s="11">
        <f>IF(OR(J194="",H194="",I194=""),"",J194/((I194-H194)*1440))</f>
        <v/>
      </c>
      <c r="O194" s="7" t="n"/>
      <c r="P194" s="7" t="n"/>
      <c r="Q194" s="7" t="n"/>
      <c r="R194" s="12" t="n"/>
      <c r="S194" s="13">
        <f>IF(OR(R194="",J194=""),"",R194/J194-1)</f>
        <v/>
      </c>
      <c r="T194" s="14">
        <f>IF(OR(L194="",R194="",J194=""),"",SQRT(4+(L194^2-4)*(R194/J194)^2))</f>
        <v/>
      </c>
      <c r="U194" s="7" t="n"/>
      <c r="V194" s="7" t="n"/>
    </row>
    <row r="195">
      <c r="A195" s="7" t="inlineStr">
        <is>
          <t>L-1/2-5-i2</t>
        </is>
      </c>
      <c r="B195" s="7" t="inlineStr">
        <is>
          <t>1/2</t>
        </is>
      </c>
      <c r="C195" s="7" t="inlineStr">
        <is>
          <t>L</t>
        </is>
      </c>
      <c r="D195" s="7" t="inlineStr">
        <is>
          <t>Copper L</t>
        </is>
      </c>
      <c r="E195" s="7" t="n">
        <v>5</v>
      </c>
      <c r="F195" s="7" t="n">
        <v>2</v>
      </c>
      <c r="G195" s="8" t="n"/>
      <c r="H195" s="27" t="n"/>
      <c r="I195" s="27" t="n"/>
      <c r="J195" s="8" t="n"/>
      <c r="K195" s="8" t="n"/>
      <c r="L195" s="10" t="n"/>
      <c r="M195" s="8" t="n"/>
      <c r="N195" s="11">
        <f>IF(OR(J195="",H195="",I195=""),"",J195/((I195-H195)*1440))</f>
        <v/>
      </c>
      <c r="O195" s="7" t="n"/>
      <c r="P195" s="7" t="n"/>
      <c r="Q195" s="7" t="n"/>
      <c r="R195" s="12" t="n"/>
      <c r="S195" s="13">
        <f>IF(OR(R195="",J195=""),"",R195/J195-1)</f>
        <v/>
      </c>
      <c r="T195" s="14">
        <f>IF(OR(L195="",R195="",J195=""),"",SQRT(4+(L195^2-4)*(R195/J195)^2))</f>
        <v/>
      </c>
      <c r="U195" s="7" t="n"/>
      <c r="V195" s="7" t="n"/>
    </row>
    <row r="196">
      <c r="A196" s="7" t="inlineStr">
        <is>
          <t>L-1/2-5-i3</t>
        </is>
      </c>
      <c r="B196" s="7" t="inlineStr">
        <is>
          <t>1/2</t>
        </is>
      </c>
      <c r="C196" s="7" t="inlineStr">
        <is>
          <t>L</t>
        </is>
      </c>
      <c r="D196" s="7" t="inlineStr">
        <is>
          <t>Copper L</t>
        </is>
      </c>
      <c r="E196" s="7" t="n">
        <v>5</v>
      </c>
      <c r="F196" s="7" t="n">
        <v>3</v>
      </c>
      <c r="G196" s="8" t="n"/>
      <c r="H196" s="27" t="n"/>
      <c r="I196" s="27" t="n"/>
      <c r="J196" s="8" t="n"/>
      <c r="K196" s="8" t="n"/>
      <c r="L196" s="10" t="n"/>
      <c r="M196" s="8" t="n"/>
      <c r="N196" s="11">
        <f>IF(OR(J196="",H196="",I196=""),"",J196/((I196-H196)*1440))</f>
        <v/>
      </c>
      <c r="O196" s="7" t="n"/>
      <c r="P196" s="7" t="n"/>
      <c r="Q196" s="7" t="n"/>
      <c r="R196" s="12" t="n"/>
      <c r="S196" s="13">
        <f>IF(OR(R196="",J196=""),"",R196/J196-1)</f>
        <v/>
      </c>
      <c r="T196" s="14">
        <f>IF(OR(L196="",R196="",J196=""),"",SQRT(4+(L196^2-4)*(R196/J196)^2))</f>
        <v/>
      </c>
      <c r="U196" s="7" t="n"/>
      <c r="V196" s="7" t="n"/>
    </row>
    <row r="197">
      <c r="A197" s="7" t="inlineStr">
        <is>
          <t>L-1/2-10-i1</t>
        </is>
      </c>
      <c r="B197" s="7" t="inlineStr">
        <is>
          <t>1/2</t>
        </is>
      </c>
      <c r="C197" s="7" t="inlineStr">
        <is>
          <t>L</t>
        </is>
      </c>
      <c r="D197" s="7" t="inlineStr">
        <is>
          <t>Copper L</t>
        </is>
      </c>
      <c r="E197" s="7" t="n">
        <v>10</v>
      </c>
      <c r="F197" s="7" t="n">
        <v>1</v>
      </c>
      <c r="G197" s="8" t="n"/>
      <c r="H197" s="27" t="n"/>
      <c r="I197" s="27" t="n"/>
      <c r="J197" s="8" t="n"/>
      <c r="K197" s="8" t="n"/>
      <c r="L197" s="10" t="n"/>
      <c r="M197" s="8" t="n"/>
      <c r="N197" s="11">
        <f>IF(OR(J197="",H197="",I197=""),"",J197/((I197-H197)*1440))</f>
        <v/>
      </c>
      <c r="O197" s="7" t="n"/>
      <c r="P197" s="7" t="n"/>
      <c r="Q197" s="7" t="n"/>
      <c r="R197" s="12" t="n"/>
      <c r="S197" s="13">
        <f>IF(OR(R197="",J197=""),"",R197/J197-1)</f>
        <v/>
      </c>
      <c r="T197" s="14">
        <f>IF(OR(L197="",R197="",J197=""),"",SQRT(4+(L197^2-4)*(R197/J197)^2))</f>
        <v/>
      </c>
      <c r="U197" s="7" t="n"/>
      <c r="V197" s="7" t="n"/>
    </row>
    <row r="198">
      <c r="A198" s="7" t="inlineStr">
        <is>
          <t>L-1/2-10-i2</t>
        </is>
      </c>
      <c r="B198" s="7" t="inlineStr">
        <is>
          <t>1/2</t>
        </is>
      </c>
      <c r="C198" s="7" t="inlineStr">
        <is>
          <t>L</t>
        </is>
      </c>
      <c r="D198" s="7" t="inlineStr">
        <is>
          <t>Copper L</t>
        </is>
      </c>
      <c r="E198" s="7" t="n">
        <v>10</v>
      </c>
      <c r="F198" s="7" t="n">
        <v>2</v>
      </c>
      <c r="G198" s="8" t="n"/>
      <c r="H198" s="27" t="n"/>
      <c r="I198" s="27" t="n"/>
      <c r="J198" s="8" t="n"/>
      <c r="K198" s="8" t="n"/>
      <c r="L198" s="10" t="n"/>
      <c r="M198" s="8" t="n"/>
      <c r="N198" s="11">
        <f>IF(OR(J198="",H198="",I198=""),"",J198/((I198-H198)*1440))</f>
        <v/>
      </c>
      <c r="O198" s="7" t="n"/>
      <c r="P198" s="7" t="n"/>
      <c r="Q198" s="7" t="n"/>
      <c r="R198" s="12" t="n"/>
      <c r="S198" s="13">
        <f>IF(OR(R198="",J198=""),"",R198/J198-1)</f>
        <v/>
      </c>
      <c r="T198" s="14">
        <f>IF(OR(L198="",R198="",J198=""),"",SQRT(4+(L198^2-4)*(R198/J198)^2))</f>
        <v/>
      </c>
      <c r="U198" s="7" t="n"/>
      <c r="V198" s="7" t="n"/>
    </row>
    <row r="199">
      <c r="A199" s="7" t="inlineStr">
        <is>
          <t>L-1/2-10-i3</t>
        </is>
      </c>
      <c r="B199" s="7" t="inlineStr">
        <is>
          <t>1/2</t>
        </is>
      </c>
      <c r="C199" s="7" t="inlineStr">
        <is>
          <t>L</t>
        </is>
      </c>
      <c r="D199" s="7" t="inlineStr">
        <is>
          <t>Copper L</t>
        </is>
      </c>
      <c r="E199" s="7" t="n">
        <v>10</v>
      </c>
      <c r="F199" s="7" t="n">
        <v>3</v>
      </c>
      <c r="G199" s="8" t="n"/>
      <c r="H199" s="27" t="n"/>
      <c r="I199" s="27" t="n"/>
      <c r="J199" s="8" t="n"/>
      <c r="K199" s="8" t="n"/>
      <c r="L199" s="10" t="n"/>
      <c r="M199" s="8" t="n"/>
      <c r="N199" s="11">
        <f>IF(OR(J199="",H199="",I199=""),"",J199/((I199-H199)*1440))</f>
        <v/>
      </c>
      <c r="O199" s="7" t="n"/>
      <c r="P199" s="7" t="n"/>
      <c r="Q199" s="7" t="n"/>
      <c r="R199" s="12" t="n"/>
      <c r="S199" s="13">
        <f>IF(OR(R199="",J199=""),"",R199/J199-1)</f>
        <v/>
      </c>
      <c r="T199" s="14">
        <f>IF(OR(L199="",R199="",J199=""),"",SQRT(4+(L199^2-4)*(R199/J199)^2))</f>
        <v/>
      </c>
      <c r="U199" s="7" t="n"/>
      <c r="V199" s="7" t="n"/>
    </row>
    <row r="200">
      <c r="A200" s="7" t="inlineStr">
        <is>
          <t>M-1/2-0.5-i1</t>
        </is>
      </c>
      <c r="B200" s="7" t="inlineStr">
        <is>
          <t>1/2</t>
        </is>
      </c>
      <c r="C200" s="7" t="inlineStr">
        <is>
          <t>M</t>
        </is>
      </c>
      <c r="D200" s="7" t="inlineStr">
        <is>
          <t>Copper M</t>
        </is>
      </c>
      <c r="E200" s="7" t="n">
        <v>0.5</v>
      </c>
      <c r="F200" s="7" t="n">
        <v>1</v>
      </c>
      <c r="G200" s="8" t="n"/>
      <c r="H200" s="27" t="n"/>
      <c r="I200" s="27" t="n"/>
      <c r="J200" s="8" t="n"/>
      <c r="K200" s="8" t="n"/>
      <c r="L200" s="10" t="n"/>
      <c r="M200" s="8" t="n"/>
      <c r="N200" s="11">
        <f>IF(OR(J200="",H200="",I200=""),"",J200/((I200-H200)*1440))</f>
        <v/>
      </c>
      <c r="O200" s="7" t="n"/>
      <c r="P200" s="7" t="n"/>
      <c r="Q200" s="7" t="n"/>
      <c r="R200" s="12" t="n"/>
      <c r="S200" s="13">
        <f>IF(OR(R200="",J200=""),"",R200/J200-1)</f>
        <v/>
      </c>
      <c r="T200" s="14">
        <f>IF(OR(L200="",R200="",J200=""),"",SQRT(4+(L200^2-4)*(R200/J200)^2))</f>
        <v/>
      </c>
      <c r="U200" s="7" t="n"/>
      <c r="V200" s="7" t="n"/>
    </row>
    <row r="201">
      <c r="A201" s="7" t="inlineStr">
        <is>
          <t>M-1/2-0.5-i2</t>
        </is>
      </c>
      <c r="B201" s="7" t="inlineStr">
        <is>
          <t>1/2</t>
        </is>
      </c>
      <c r="C201" s="7" t="inlineStr">
        <is>
          <t>M</t>
        </is>
      </c>
      <c r="D201" s="7" t="inlineStr">
        <is>
          <t>Copper M</t>
        </is>
      </c>
      <c r="E201" s="7" t="n">
        <v>0.5</v>
      </c>
      <c r="F201" s="7" t="n">
        <v>2</v>
      </c>
      <c r="G201" s="8" t="n"/>
      <c r="H201" s="27" t="n"/>
      <c r="I201" s="27" t="n"/>
      <c r="J201" s="8" t="n"/>
      <c r="K201" s="8" t="n"/>
      <c r="L201" s="10" t="n"/>
      <c r="M201" s="8" t="n"/>
      <c r="N201" s="11">
        <f>IF(OR(J201="",H201="",I201=""),"",J201/((I201-H201)*1440))</f>
        <v/>
      </c>
      <c r="O201" s="7" t="n"/>
      <c r="P201" s="7" t="n"/>
      <c r="Q201" s="7" t="n"/>
      <c r="R201" s="12" t="n"/>
      <c r="S201" s="13">
        <f>IF(OR(R201="",J201=""),"",R201/J201-1)</f>
        <v/>
      </c>
      <c r="T201" s="14">
        <f>IF(OR(L201="",R201="",J201=""),"",SQRT(4+(L201^2-4)*(R201/J201)^2))</f>
        <v/>
      </c>
      <c r="U201" s="7" t="n"/>
      <c r="V201" s="7" t="n"/>
    </row>
    <row r="202">
      <c r="A202" s="7" t="inlineStr">
        <is>
          <t>M-1/2-0.5-i3</t>
        </is>
      </c>
      <c r="B202" s="7" t="inlineStr">
        <is>
          <t>1/2</t>
        </is>
      </c>
      <c r="C202" s="7" t="inlineStr">
        <is>
          <t>M</t>
        </is>
      </c>
      <c r="D202" s="7" t="inlineStr">
        <is>
          <t>Copper M</t>
        </is>
      </c>
      <c r="E202" s="7" t="n">
        <v>0.5</v>
      </c>
      <c r="F202" s="7" t="n">
        <v>3</v>
      </c>
      <c r="G202" s="8" t="n"/>
      <c r="H202" s="27" t="n"/>
      <c r="I202" s="27" t="n"/>
      <c r="J202" s="8" t="n"/>
      <c r="K202" s="8" t="n"/>
      <c r="L202" s="10" t="n"/>
      <c r="M202" s="8" t="n"/>
      <c r="N202" s="11">
        <f>IF(OR(J202="",H202="",I202=""),"",J202/((I202-H202)*1440))</f>
        <v/>
      </c>
      <c r="O202" s="7" t="n"/>
      <c r="P202" s="7" t="n"/>
      <c r="Q202" s="7" t="n"/>
      <c r="R202" s="12" t="n"/>
      <c r="S202" s="13">
        <f>IF(OR(R202="",J202=""),"",R202/J202-1)</f>
        <v/>
      </c>
      <c r="T202" s="14">
        <f>IF(OR(L202="",R202="",J202=""),"",SQRT(4+(L202^2-4)*(R202/J202)^2))</f>
        <v/>
      </c>
      <c r="U202" s="7" t="n"/>
      <c r="V202" s="7" t="n"/>
    </row>
    <row r="203">
      <c r="A203" s="7" t="inlineStr">
        <is>
          <t>M-1/2-1-i1</t>
        </is>
      </c>
      <c r="B203" s="7" t="inlineStr">
        <is>
          <t>1/2</t>
        </is>
      </c>
      <c r="C203" s="7" t="inlineStr">
        <is>
          <t>M</t>
        </is>
      </c>
      <c r="D203" s="7" t="inlineStr">
        <is>
          <t>Copper M</t>
        </is>
      </c>
      <c r="E203" s="7" t="n">
        <v>1</v>
      </c>
      <c r="F203" s="7" t="n">
        <v>1</v>
      </c>
      <c r="G203" s="8" t="n"/>
      <c r="H203" s="27" t="n"/>
      <c r="I203" s="27" t="n"/>
      <c r="J203" s="8" t="n"/>
      <c r="K203" s="8" t="n"/>
      <c r="L203" s="10" t="n"/>
      <c r="M203" s="8" t="n"/>
      <c r="N203" s="11">
        <f>IF(OR(J203="",H203="",I203=""),"",J203/((I203-H203)*1440))</f>
        <v/>
      </c>
      <c r="O203" s="7" t="n"/>
      <c r="P203" s="7" t="n"/>
      <c r="Q203" s="7" t="n"/>
      <c r="R203" s="12" t="n"/>
      <c r="S203" s="13">
        <f>IF(OR(R203="",J203=""),"",R203/J203-1)</f>
        <v/>
      </c>
      <c r="T203" s="14">
        <f>IF(OR(L203="",R203="",J203=""),"",SQRT(4+(L203^2-4)*(R203/J203)^2))</f>
        <v/>
      </c>
      <c r="U203" s="7" t="n"/>
      <c r="V203" s="7" t="n"/>
    </row>
    <row r="204">
      <c r="A204" s="7" t="inlineStr">
        <is>
          <t>M-1/2-1-i2</t>
        </is>
      </c>
      <c r="B204" s="7" t="inlineStr">
        <is>
          <t>1/2</t>
        </is>
      </c>
      <c r="C204" s="7" t="inlineStr">
        <is>
          <t>M</t>
        </is>
      </c>
      <c r="D204" s="7" t="inlineStr">
        <is>
          <t>Copper M</t>
        </is>
      </c>
      <c r="E204" s="7" t="n">
        <v>1</v>
      </c>
      <c r="F204" s="7" t="n">
        <v>2</v>
      </c>
      <c r="G204" s="8" t="n"/>
      <c r="H204" s="27" t="n"/>
      <c r="I204" s="27" t="n"/>
      <c r="J204" s="8" t="n"/>
      <c r="K204" s="8" t="n"/>
      <c r="L204" s="10" t="n"/>
      <c r="M204" s="8" t="n"/>
      <c r="N204" s="11">
        <f>IF(OR(J204="",H204="",I204=""),"",J204/((I204-H204)*1440))</f>
        <v/>
      </c>
      <c r="O204" s="7" t="n"/>
      <c r="P204" s="7" t="n"/>
      <c r="Q204" s="7" t="n"/>
      <c r="R204" s="12" t="n"/>
      <c r="S204" s="13">
        <f>IF(OR(R204="",J204=""),"",R204/J204-1)</f>
        <v/>
      </c>
      <c r="T204" s="14">
        <f>IF(OR(L204="",R204="",J204=""),"",SQRT(4+(L204^2-4)*(R204/J204)^2))</f>
        <v/>
      </c>
      <c r="U204" s="7" t="n"/>
      <c r="V204" s="7" t="n"/>
    </row>
    <row r="205">
      <c r="A205" s="7" t="inlineStr">
        <is>
          <t>M-1/2-1-i3</t>
        </is>
      </c>
      <c r="B205" s="7" t="inlineStr">
        <is>
          <t>1/2</t>
        </is>
      </c>
      <c r="C205" s="7" t="inlineStr">
        <is>
          <t>M</t>
        </is>
      </c>
      <c r="D205" s="7" t="inlineStr">
        <is>
          <t>Copper M</t>
        </is>
      </c>
      <c r="E205" s="7" t="n">
        <v>1</v>
      </c>
      <c r="F205" s="7" t="n">
        <v>3</v>
      </c>
      <c r="G205" s="8" t="n"/>
      <c r="H205" s="27" t="n"/>
      <c r="I205" s="27" t="n"/>
      <c r="J205" s="8" t="n"/>
      <c r="K205" s="8" t="n"/>
      <c r="L205" s="10" t="n"/>
      <c r="M205" s="8" t="n"/>
      <c r="N205" s="11">
        <f>IF(OR(J205="",H205="",I205=""),"",J205/((I205-H205)*1440))</f>
        <v/>
      </c>
      <c r="O205" s="7" t="n"/>
      <c r="P205" s="7" t="n"/>
      <c r="Q205" s="7" t="n"/>
      <c r="R205" s="12" t="n"/>
      <c r="S205" s="13">
        <f>IF(OR(R205="",J205=""),"",R205/J205-1)</f>
        <v/>
      </c>
      <c r="T205" s="14">
        <f>IF(OR(L205="",R205="",J205=""),"",SQRT(4+(L205^2-4)*(R205/J205)^2))</f>
        <v/>
      </c>
      <c r="U205" s="7" t="n"/>
      <c r="V205" s="7" t="n"/>
    </row>
    <row r="206">
      <c r="A206" s="7" t="inlineStr">
        <is>
          <t>M-1/2-3-i1</t>
        </is>
      </c>
      <c r="B206" s="7" t="inlineStr">
        <is>
          <t>1/2</t>
        </is>
      </c>
      <c r="C206" s="7" t="inlineStr">
        <is>
          <t>M</t>
        </is>
      </c>
      <c r="D206" s="7" t="inlineStr">
        <is>
          <t>Copper M</t>
        </is>
      </c>
      <c r="E206" s="7" t="n">
        <v>3</v>
      </c>
      <c r="F206" s="7" t="n">
        <v>1</v>
      </c>
      <c r="G206" s="8" t="n"/>
      <c r="H206" s="27" t="n"/>
      <c r="I206" s="27" t="n"/>
      <c r="J206" s="8" t="n"/>
      <c r="K206" s="8" t="n"/>
      <c r="L206" s="10" t="n"/>
      <c r="M206" s="8" t="n"/>
      <c r="N206" s="11">
        <f>IF(OR(J206="",H206="",I206=""),"",J206/((I206-H206)*1440))</f>
        <v/>
      </c>
      <c r="O206" s="7" t="n"/>
      <c r="P206" s="7" t="n"/>
      <c r="Q206" s="7" t="n"/>
      <c r="R206" s="12" t="n"/>
      <c r="S206" s="13">
        <f>IF(OR(R206="",J206=""),"",R206/J206-1)</f>
        <v/>
      </c>
      <c r="T206" s="14">
        <f>IF(OR(L206="",R206="",J206=""),"",SQRT(4+(L206^2-4)*(R206/J206)^2))</f>
        <v/>
      </c>
      <c r="U206" s="7" t="n"/>
      <c r="V206" s="7" t="n"/>
    </row>
    <row r="207">
      <c r="A207" s="7" t="inlineStr">
        <is>
          <t>M-1/2-3-i2</t>
        </is>
      </c>
      <c r="B207" s="7" t="inlineStr">
        <is>
          <t>1/2</t>
        </is>
      </c>
      <c r="C207" s="7" t="inlineStr">
        <is>
          <t>M</t>
        </is>
      </c>
      <c r="D207" s="7" t="inlineStr">
        <is>
          <t>Copper M</t>
        </is>
      </c>
      <c r="E207" s="7" t="n">
        <v>3</v>
      </c>
      <c r="F207" s="7" t="n">
        <v>2</v>
      </c>
      <c r="G207" s="8" t="n"/>
      <c r="H207" s="27" t="n"/>
      <c r="I207" s="27" t="n"/>
      <c r="J207" s="8" t="n"/>
      <c r="K207" s="8" t="n"/>
      <c r="L207" s="10" t="n"/>
      <c r="M207" s="8" t="n"/>
      <c r="N207" s="11">
        <f>IF(OR(J207="",H207="",I207=""),"",J207/((I207-H207)*1440))</f>
        <v/>
      </c>
      <c r="O207" s="7" t="n"/>
      <c r="P207" s="7" t="n"/>
      <c r="Q207" s="7" t="n"/>
      <c r="R207" s="12" t="n"/>
      <c r="S207" s="13">
        <f>IF(OR(R207="",J207=""),"",R207/J207-1)</f>
        <v/>
      </c>
      <c r="T207" s="14">
        <f>IF(OR(L207="",R207="",J207=""),"",SQRT(4+(L207^2-4)*(R207/J207)^2))</f>
        <v/>
      </c>
      <c r="U207" s="7" t="n"/>
      <c r="V207" s="7" t="n"/>
    </row>
    <row r="208">
      <c r="A208" s="7" t="inlineStr">
        <is>
          <t>M-1/2-3-i3</t>
        </is>
      </c>
      <c r="B208" s="7" t="inlineStr">
        <is>
          <t>1/2</t>
        </is>
      </c>
      <c r="C208" s="7" t="inlineStr">
        <is>
          <t>M</t>
        </is>
      </c>
      <c r="D208" s="7" t="inlineStr">
        <is>
          <t>Copper M</t>
        </is>
      </c>
      <c r="E208" s="7" t="n">
        <v>3</v>
      </c>
      <c r="F208" s="7" t="n">
        <v>3</v>
      </c>
      <c r="G208" s="8" t="n"/>
      <c r="H208" s="27" t="n"/>
      <c r="I208" s="27" t="n"/>
      <c r="J208" s="8" t="n"/>
      <c r="K208" s="8" t="n"/>
      <c r="L208" s="10" t="n"/>
      <c r="M208" s="8" t="n"/>
      <c r="N208" s="11">
        <f>IF(OR(J208="",H208="",I208=""),"",J208/((I208-H208)*1440))</f>
        <v/>
      </c>
      <c r="O208" s="7" t="n"/>
      <c r="P208" s="7" t="n"/>
      <c r="Q208" s="7" t="n"/>
      <c r="R208" s="12" t="n"/>
      <c r="S208" s="13">
        <f>IF(OR(R208="",J208=""),"",R208/J208-1)</f>
        <v/>
      </c>
      <c r="T208" s="14">
        <f>IF(OR(L208="",R208="",J208=""),"",SQRT(4+(L208^2-4)*(R208/J208)^2))</f>
        <v/>
      </c>
      <c r="U208" s="7" t="n"/>
      <c r="V208" s="7" t="n"/>
    </row>
    <row r="209">
      <c r="A209" s="7" t="inlineStr">
        <is>
          <t>M-1/2-5-i1</t>
        </is>
      </c>
      <c r="B209" s="7" t="inlineStr">
        <is>
          <t>1/2</t>
        </is>
      </c>
      <c r="C209" s="7" t="inlineStr">
        <is>
          <t>M</t>
        </is>
      </c>
      <c r="D209" s="7" t="inlineStr">
        <is>
          <t>Copper M</t>
        </is>
      </c>
      <c r="E209" s="7" t="n">
        <v>5</v>
      </c>
      <c r="F209" s="7" t="n">
        <v>1</v>
      </c>
      <c r="G209" s="8" t="n"/>
      <c r="H209" s="27" t="n"/>
      <c r="I209" s="27" t="n"/>
      <c r="J209" s="8" t="n"/>
      <c r="K209" s="8" t="n"/>
      <c r="L209" s="10" t="n"/>
      <c r="M209" s="8" t="n"/>
      <c r="N209" s="11">
        <f>IF(OR(J209="",H209="",I209=""),"",J209/((I209-H209)*1440))</f>
        <v/>
      </c>
      <c r="O209" s="7" t="n"/>
      <c r="P209" s="7" t="n"/>
      <c r="Q209" s="7" t="n"/>
      <c r="R209" s="12" t="n"/>
      <c r="S209" s="13">
        <f>IF(OR(R209="",J209=""),"",R209/J209-1)</f>
        <v/>
      </c>
      <c r="T209" s="14">
        <f>IF(OR(L209="",R209="",J209=""),"",SQRT(4+(L209^2-4)*(R209/J209)^2))</f>
        <v/>
      </c>
      <c r="U209" s="7" t="n"/>
      <c r="V209" s="7" t="n"/>
    </row>
    <row r="210">
      <c r="A210" s="7" t="inlineStr">
        <is>
          <t>M-1/2-5-i2</t>
        </is>
      </c>
      <c r="B210" s="7" t="inlineStr">
        <is>
          <t>1/2</t>
        </is>
      </c>
      <c r="C210" s="7" t="inlineStr">
        <is>
          <t>M</t>
        </is>
      </c>
      <c r="D210" s="7" t="inlineStr">
        <is>
          <t>Copper M</t>
        </is>
      </c>
      <c r="E210" s="7" t="n">
        <v>5</v>
      </c>
      <c r="F210" s="7" t="n">
        <v>2</v>
      </c>
      <c r="G210" s="8" t="n"/>
      <c r="H210" s="27" t="n"/>
      <c r="I210" s="27" t="n"/>
      <c r="J210" s="8" t="n"/>
      <c r="K210" s="8" t="n"/>
      <c r="L210" s="10" t="n"/>
      <c r="M210" s="8" t="n"/>
      <c r="N210" s="11">
        <f>IF(OR(J210="",H210="",I210=""),"",J210/((I210-H210)*1440))</f>
        <v/>
      </c>
      <c r="O210" s="7" t="n"/>
      <c r="P210" s="7" t="n"/>
      <c r="Q210" s="7" t="n"/>
      <c r="R210" s="12" t="n"/>
      <c r="S210" s="13">
        <f>IF(OR(R210="",J210=""),"",R210/J210-1)</f>
        <v/>
      </c>
      <c r="T210" s="14">
        <f>IF(OR(L210="",R210="",J210=""),"",SQRT(4+(L210^2-4)*(R210/J210)^2))</f>
        <v/>
      </c>
      <c r="U210" s="7" t="n"/>
      <c r="V210" s="7" t="n"/>
    </row>
    <row r="211">
      <c r="A211" s="7" t="inlineStr">
        <is>
          <t>M-1/2-5-i3</t>
        </is>
      </c>
      <c r="B211" s="7" t="inlineStr">
        <is>
          <t>1/2</t>
        </is>
      </c>
      <c r="C211" s="7" t="inlineStr">
        <is>
          <t>M</t>
        </is>
      </c>
      <c r="D211" s="7" t="inlineStr">
        <is>
          <t>Copper M</t>
        </is>
      </c>
      <c r="E211" s="7" t="n">
        <v>5</v>
      </c>
      <c r="F211" s="7" t="n">
        <v>3</v>
      </c>
      <c r="G211" s="8" t="n"/>
      <c r="H211" s="27" t="n"/>
      <c r="I211" s="27" t="n"/>
      <c r="J211" s="8" t="n"/>
      <c r="K211" s="8" t="n"/>
      <c r="L211" s="10" t="n"/>
      <c r="M211" s="8" t="n"/>
      <c r="N211" s="11">
        <f>IF(OR(J211="",H211="",I211=""),"",J211/((I211-H211)*1440))</f>
        <v/>
      </c>
      <c r="O211" s="7" t="n"/>
      <c r="P211" s="7" t="n"/>
      <c r="Q211" s="7" t="n"/>
      <c r="R211" s="12" t="n"/>
      <c r="S211" s="13">
        <f>IF(OR(R211="",J211=""),"",R211/J211-1)</f>
        <v/>
      </c>
      <c r="T211" s="14">
        <f>IF(OR(L211="",R211="",J211=""),"",SQRT(4+(L211^2-4)*(R211/J211)^2))</f>
        <v/>
      </c>
      <c r="U211" s="7" t="n"/>
      <c r="V211" s="7" t="n"/>
    </row>
    <row r="212">
      <c r="A212" s="7" t="inlineStr">
        <is>
          <t>M-1/2-10-i1</t>
        </is>
      </c>
      <c r="B212" s="7" t="inlineStr">
        <is>
          <t>1/2</t>
        </is>
      </c>
      <c r="C212" s="7" t="inlineStr">
        <is>
          <t>M</t>
        </is>
      </c>
      <c r="D212" s="7" t="inlineStr">
        <is>
          <t>Copper M</t>
        </is>
      </c>
      <c r="E212" s="7" t="n">
        <v>10</v>
      </c>
      <c r="F212" s="7" t="n">
        <v>1</v>
      </c>
      <c r="G212" s="8" t="n"/>
      <c r="H212" s="27" t="n"/>
      <c r="I212" s="27" t="n"/>
      <c r="J212" s="8" t="n"/>
      <c r="K212" s="8" t="n"/>
      <c r="L212" s="10" t="n"/>
      <c r="M212" s="8" t="n"/>
      <c r="N212" s="11">
        <f>IF(OR(J212="",H212="",I212=""),"",J212/((I212-H212)*1440))</f>
        <v/>
      </c>
      <c r="O212" s="7" t="n"/>
      <c r="P212" s="7" t="n"/>
      <c r="Q212" s="7" t="n"/>
      <c r="R212" s="12" t="n"/>
      <c r="S212" s="13">
        <f>IF(OR(R212="",J212=""),"",R212/J212-1)</f>
        <v/>
      </c>
      <c r="T212" s="14">
        <f>IF(OR(L212="",R212="",J212=""),"",SQRT(4+(L212^2-4)*(R212/J212)^2))</f>
        <v/>
      </c>
      <c r="U212" s="7" t="n"/>
      <c r="V212" s="7" t="n"/>
    </row>
    <row r="213">
      <c r="A213" s="7" t="inlineStr">
        <is>
          <t>M-1/2-10-i2</t>
        </is>
      </c>
      <c r="B213" s="7" t="inlineStr">
        <is>
          <t>1/2</t>
        </is>
      </c>
      <c r="C213" s="7" t="inlineStr">
        <is>
          <t>M</t>
        </is>
      </c>
      <c r="D213" s="7" t="inlineStr">
        <is>
          <t>Copper M</t>
        </is>
      </c>
      <c r="E213" s="7" t="n">
        <v>10</v>
      </c>
      <c r="F213" s="7" t="n">
        <v>2</v>
      </c>
      <c r="G213" s="8" t="n"/>
      <c r="H213" s="27" t="n"/>
      <c r="I213" s="27" t="n"/>
      <c r="J213" s="8" t="n"/>
      <c r="K213" s="8" t="n"/>
      <c r="L213" s="10" t="n"/>
      <c r="M213" s="8" t="n"/>
      <c r="N213" s="11">
        <f>IF(OR(J213="",H213="",I213=""),"",J213/((I213-H213)*1440))</f>
        <v/>
      </c>
      <c r="O213" s="7" t="n"/>
      <c r="P213" s="7" t="n"/>
      <c r="Q213" s="7" t="n"/>
      <c r="R213" s="12" t="n"/>
      <c r="S213" s="13">
        <f>IF(OR(R213="",J213=""),"",R213/J213-1)</f>
        <v/>
      </c>
      <c r="T213" s="14">
        <f>IF(OR(L213="",R213="",J213=""),"",SQRT(4+(L213^2-4)*(R213/J213)^2))</f>
        <v/>
      </c>
      <c r="U213" s="7" t="n"/>
      <c r="V213" s="7" t="n"/>
    </row>
    <row r="214">
      <c r="A214" s="7" t="inlineStr">
        <is>
          <t>M-1/2-10-i3</t>
        </is>
      </c>
      <c r="B214" s="7" t="inlineStr">
        <is>
          <t>1/2</t>
        </is>
      </c>
      <c r="C214" s="7" t="inlineStr">
        <is>
          <t>M</t>
        </is>
      </c>
      <c r="D214" s="7" t="inlineStr">
        <is>
          <t>Copper M</t>
        </is>
      </c>
      <c r="E214" s="7" t="n">
        <v>10</v>
      </c>
      <c r="F214" s="7" t="n">
        <v>3</v>
      </c>
      <c r="G214" s="8" t="n"/>
      <c r="H214" s="27" t="n"/>
      <c r="I214" s="27" t="n"/>
      <c r="J214" s="8" t="n"/>
      <c r="K214" s="8" t="n"/>
      <c r="L214" s="10" t="n"/>
      <c r="M214" s="8" t="n"/>
      <c r="N214" s="11">
        <f>IF(OR(J214="",H214="",I214=""),"",J214/((I214-H214)*1440))</f>
        <v/>
      </c>
      <c r="O214" s="7" t="n"/>
      <c r="P214" s="7" t="n"/>
      <c r="Q214" s="7" t="n"/>
      <c r="R214" s="12" t="n"/>
      <c r="S214" s="13">
        <f>IF(OR(R214="",J214=""),"",R214/J214-1)</f>
        <v/>
      </c>
      <c r="T214" s="14">
        <f>IF(OR(L214="",R214="",J214=""),"",SQRT(4+(L214^2-4)*(R214/J214)^2))</f>
        <v/>
      </c>
      <c r="U214" s="7" t="n"/>
      <c r="V214" s="7" t="n"/>
    </row>
    <row r="215">
      <c r="A215" s="7" t="inlineStr">
        <is>
          <t>P-1/2-0.5-i1</t>
        </is>
      </c>
      <c r="B215" s="7" t="inlineStr">
        <is>
          <t>1/2</t>
        </is>
      </c>
      <c r="C215" s="7" t="inlineStr">
        <is>
          <t>P</t>
        </is>
      </c>
      <c r="D215" s="7" t="inlineStr">
        <is>
          <t>PVC-40</t>
        </is>
      </c>
      <c r="E215" s="7" t="n">
        <v>0.5</v>
      </c>
      <c r="F215" s="7" t="n">
        <v>1</v>
      </c>
      <c r="G215" s="8" t="n"/>
      <c r="H215" s="27" t="n"/>
      <c r="I215" s="27" t="n"/>
      <c r="J215" s="8" t="n"/>
      <c r="K215" s="8" t="n"/>
      <c r="L215" s="10" t="n"/>
      <c r="M215" s="8" t="n"/>
      <c r="N215" s="11">
        <f>IF(OR(J215="",H215="",I215=""),"",J215/((I215-H215)*1440))</f>
        <v/>
      </c>
      <c r="O215" s="7" t="n"/>
      <c r="P215" s="7" t="n"/>
      <c r="Q215" s="7" t="n"/>
      <c r="R215" s="12" t="n"/>
      <c r="S215" s="13">
        <f>IF(OR(R215="",J215=""),"",R215/J215-1)</f>
        <v/>
      </c>
      <c r="T215" s="14">
        <f>IF(OR(L215="",R215="",J215=""),"",SQRT(4+(L215^2-4)*(R215/J215)^2))</f>
        <v/>
      </c>
      <c r="U215" s="7" t="n"/>
      <c r="V215" s="7" t="n"/>
    </row>
    <row r="216">
      <c r="A216" s="7" t="inlineStr">
        <is>
          <t>P-1/2-0.5-i2</t>
        </is>
      </c>
      <c r="B216" s="7" t="inlineStr">
        <is>
          <t>1/2</t>
        </is>
      </c>
      <c r="C216" s="7" t="inlineStr">
        <is>
          <t>P</t>
        </is>
      </c>
      <c r="D216" s="7" t="inlineStr">
        <is>
          <t>PVC-40</t>
        </is>
      </c>
      <c r="E216" s="7" t="n">
        <v>0.5</v>
      </c>
      <c r="F216" s="7" t="n">
        <v>2</v>
      </c>
      <c r="G216" s="8" t="n"/>
      <c r="H216" s="27" t="n"/>
      <c r="I216" s="27" t="n"/>
      <c r="J216" s="8" t="n"/>
      <c r="K216" s="8" t="n"/>
      <c r="L216" s="10" t="n"/>
      <c r="M216" s="8" t="n"/>
      <c r="N216" s="11">
        <f>IF(OR(J216="",H216="",I216=""),"",J216/((I216-H216)*1440))</f>
        <v/>
      </c>
      <c r="O216" s="7" t="n"/>
      <c r="P216" s="7" t="n"/>
      <c r="Q216" s="7" t="n"/>
      <c r="R216" s="12" t="n"/>
      <c r="S216" s="13">
        <f>IF(OR(R216="",J216=""),"",R216/J216-1)</f>
        <v/>
      </c>
      <c r="T216" s="14">
        <f>IF(OR(L216="",R216="",J216=""),"",SQRT(4+(L216^2-4)*(R216/J216)^2))</f>
        <v/>
      </c>
      <c r="U216" s="7" t="n"/>
      <c r="V216" s="7" t="n"/>
    </row>
    <row r="217">
      <c r="A217" s="7" t="inlineStr">
        <is>
          <t>P-1/2-0.5-i3</t>
        </is>
      </c>
      <c r="B217" s="7" t="inlineStr">
        <is>
          <t>1/2</t>
        </is>
      </c>
      <c r="C217" s="7" t="inlineStr">
        <is>
          <t>P</t>
        </is>
      </c>
      <c r="D217" s="7" t="inlineStr">
        <is>
          <t>PVC-40</t>
        </is>
      </c>
      <c r="E217" s="7" t="n">
        <v>0.5</v>
      </c>
      <c r="F217" s="7" t="n">
        <v>3</v>
      </c>
      <c r="G217" s="8" t="n"/>
      <c r="H217" s="27" t="n"/>
      <c r="I217" s="27" t="n"/>
      <c r="J217" s="8" t="n"/>
      <c r="K217" s="8" t="n"/>
      <c r="L217" s="10" t="n"/>
      <c r="M217" s="8" t="n"/>
      <c r="N217" s="11">
        <f>IF(OR(J217="",H217="",I217=""),"",J217/((I217-H217)*1440))</f>
        <v/>
      </c>
      <c r="O217" s="7" t="n"/>
      <c r="P217" s="7" t="n"/>
      <c r="Q217" s="7" t="n"/>
      <c r="R217" s="12" t="n"/>
      <c r="S217" s="13">
        <f>IF(OR(R217="",J217=""),"",R217/J217-1)</f>
        <v/>
      </c>
      <c r="T217" s="14">
        <f>IF(OR(L217="",R217="",J217=""),"",SQRT(4+(L217^2-4)*(R217/J217)^2))</f>
        <v/>
      </c>
      <c r="U217" s="7" t="n"/>
      <c r="V217" s="7" t="n"/>
    </row>
    <row r="218">
      <c r="A218" s="7" t="inlineStr">
        <is>
          <t>P-1/2-1-i1</t>
        </is>
      </c>
      <c r="B218" s="7" t="inlineStr">
        <is>
          <t>1/2</t>
        </is>
      </c>
      <c r="C218" s="7" t="inlineStr">
        <is>
          <t>P</t>
        </is>
      </c>
      <c r="D218" s="7" t="inlineStr">
        <is>
          <t>PVC-40</t>
        </is>
      </c>
      <c r="E218" s="7" t="n">
        <v>1</v>
      </c>
      <c r="F218" s="7" t="n">
        <v>1</v>
      </c>
      <c r="G218" s="8" t="n"/>
      <c r="H218" s="27" t="n"/>
      <c r="I218" s="27" t="n"/>
      <c r="J218" s="8" t="n"/>
      <c r="K218" s="8" t="n"/>
      <c r="L218" s="10" t="n"/>
      <c r="M218" s="8" t="n"/>
      <c r="N218" s="11">
        <f>IF(OR(J218="",H218="",I218=""),"",J218/((I218-H218)*1440))</f>
        <v/>
      </c>
      <c r="O218" s="7" t="n"/>
      <c r="P218" s="7" t="n"/>
      <c r="Q218" s="7" t="n"/>
      <c r="R218" s="12" t="n"/>
      <c r="S218" s="13">
        <f>IF(OR(R218="",J218=""),"",R218/J218-1)</f>
        <v/>
      </c>
      <c r="T218" s="14">
        <f>IF(OR(L218="",R218="",J218=""),"",SQRT(4+(L218^2-4)*(R218/J218)^2))</f>
        <v/>
      </c>
      <c r="U218" s="7" t="n"/>
      <c r="V218" s="7" t="n"/>
    </row>
    <row r="219">
      <c r="A219" s="7" t="inlineStr">
        <is>
          <t>P-1/2-1-i2</t>
        </is>
      </c>
      <c r="B219" s="7" t="inlineStr">
        <is>
          <t>1/2</t>
        </is>
      </c>
      <c r="C219" s="7" t="inlineStr">
        <is>
          <t>P</t>
        </is>
      </c>
      <c r="D219" s="7" t="inlineStr">
        <is>
          <t>PVC-40</t>
        </is>
      </c>
      <c r="E219" s="7" t="n">
        <v>1</v>
      </c>
      <c r="F219" s="7" t="n">
        <v>2</v>
      </c>
      <c r="G219" s="8" t="n"/>
      <c r="H219" s="27" t="n"/>
      <c r="I219" s="27" t="n"/>
      <c r="J219" s="8" t="n"/>
      <c r="K219" s="8" t="n"/>
      <c r="L219" s="10" t="n"/>
      <c r="M219" s="8" t="n"/>
      <c r="N219" s="11">
        <f>IF(OR(J219="",H219="",I219=""),"",J219/((I219-H219)*1440))</f>
        <v/>
      </c>
      <c r="O219" s="7" t="n"/>
      <c r="P219" s="7" t="n"/>
      <c r="Q219" s="7" t="n"/>
      <c r="R219" s="12" t="n"/>
      <c r="S219" s="13">
        <f>IF(OR(R219="",J219=""),"",R219/J219-1)</f>
        <v/>
      </c>
      <c r="T219" s="14">
        <f>IF(OR(L219="",R219="",J219=""),"",SQRT(4+(L219^2-4)*(R219/J219)^2))</f>
        <v/>
      </c>
      <c r="U219" s="7" t="n"/>
      <c r="V219" s="7" t="n"/>
    </row>
    <row r="220">
      <c r="A220" s="7" t="inlineStr">
        <is>
          <t>P-1/2-1-i3</t>
        </is>
      </c>
      <c r="B220" s="7" t="inlineStr">
        <is>
          <t>1/2</t>
        </is>
      </c>
      <c r="C220" s="7" t="inlineStr">
        <is>
          <t>P</t>
        </is>
      </c>
      <c r="D220" s="7" t="inlineStr">
        <is>
          <t>PVC-40</t>
        </is>
      </c>
      <c r="E220" s="7" t="n">
        <v>1</v>
      </c>
      <c r="F220" s="7" t="n">
        <v>3</v>
      </c>
      <c r="G220" s="8" t="n"/>
      <c r="H220" s="27" t="n"/>
      <c r="I220" s="27" t="n"/>
      <c r="J220" s="8" t="n"/>
      <c r="K220" s="8" t="n"/>
      <c r="L220" s="10" t="n"/>
      <c r="M220" s="8" t="n"/>
      <c r="N220" s="11">
        <f>IF(OR(J220="",H220="",I220=""),"",J220/((I220-H220)*1440))</f>
        <v/>
      </c>
      <c r="O220" s="7" t="n"/>
      <c r="P220" s="7" t="n"/>
      <c r="Q220" s="7" t="n"/>
      <c r="R220" s="12" t="n"/>
      <c r="S220" s="13">
        <f>IF(OR(R220="",J220=""),"",R220/J220-1)</f>
        <v/>
      </c>
      <c r="T220" s="14">
        <f>IF(OR(L220="",R220="",J220=""),"",SQRT(4+(L220^2-4)*(R220/J220)^2))</f>
        <v/>
      </c>
      <c r="U220" s="7" t="n"/>
      <c r="V220" s="7" t="n"/>
    </row>
    <row r="221">
      <c r="A221" s="7" t="inlineStr">
        <is>
          <t>P-1/2-3-i1</t>
        </is>
      </c>
      <c r="B221" s="7" t="inlineStr">
        <is>
          <t>1/2</t>
        </is>
      </c>
      <c r="C221" s="7" t="inlineStr">
        <is>
          <t>P</t>
        </is>
      </c>
      <c r="D221" s="7" t="inlineStr">
        <is>
          <t>PVC-40</t>
        </is>
      </c>
      <c r="E221" s="7" t="n">
        <v>3</v>
      </c>
      <c r="F221" s="7" t="n">
        <v>1</v>
      </c>
      <c r="G221" s="8" t="n"/>
      <c r="H221" s="27" t="n"/>
      <c r="I221" s="27" t="n"/>
      <c r="J221" s="8" t="n"/>
      <c r="K221" s="8" t="n"/>
      <c r="L221" s="10" t="n"/>
      <c r="M221" s="8" t="n"/>
      <c r="N221" s="11">
        <f>IF(OR(J221="",H221="",I221=""),"",J221/((I221-H221)*1440))</f>
        <v/>
      </c>
      <c r="O221" s="7" t="n"/>
      <c r="P221" s="7" t="n"/>
      <c r="Q221" s="7" t="n"/>
      <c r="R221" s="12" t="n"/>
      <c r="S221" s="13">
        <f>IF(OR(R221="",J221=""),"",R221/J221-1)</f>
        <v/>
      </c>
      <c r="T221" s="14">
        <f>IF(OR(L221="",R221="",J221=""),"",SQRT(4+(L221^2-4)*(R221/J221)^2))</f>
        <v/>
      </c>
      <c r="U221" s="7" t="n"/>
      <c r="V221" s="7" t="n"/>
    </row>
    <row r="222">
      <c r="A222" s="7" t="inlineStr">
        <is>
          <t>P-1/2-3-i2</t>
        </is>
      </c>
      <c r="B222" s="7" t="inlineStr">
        <is>
          <t>1/2</t>
        </is>
      </c>
      <c r="C222" s="7" t="inlineStr">
        <is>
          <t>P</t>
        </is>
      </c>
      <c r="D222" s="7" t="inlineStr">
        <is>
          <t>PVC-40</t>
        </is>
      </c>
      <c r="E222" s="7" t="n">
        <v>3</v>
      </c>
      <c r="F222" s="7" t="n">
        <v>2</v>
      </c>
      <c r="G222" s="8" t="n"/>
      <c r="H222" s="27" t="n"/>
      <c r="I222" s="27" t="n"/>
      <c r="J222" s="8" t="n"/>
      <c r="K222" s="8" t="n"/>
      <c r="L222" s="10" t="n"/>
      <c r="M222" s="8" t="n"/>
      <c r="N222" s="11">
        <f>IF(OR(J222="",H222="",I222=""),"",J222/((I222-H222)*1440))</f>
        <v/>
      </c>
      <c r="O222" s="7" t="n"/>
      <c r="P222" s="7" t="n"/>
      <c r="Q222" s="7" t="n"/>
      <c r="R222" s="12" t="n"/>
      <c r="S222" s="13">
        <f>IF(OR(R222="",J222=""),"",R222/J222-1)</f>
        <v/>
      </c>
      <c r="T222" s="14">
        <f>IF(OR(L222="",R222="",J222=""),"",SQRT(4+(L222^2-4)*(R222/J222)^2))</f>
        <v/>
      </c>
      <c r="U222" s="7" t="n"/>
      <c r="V222" s="7" t="n"/>
    </row>
    <row r="223">
      <c r="A223" s="7" t="inlineStr">
        <is>
          <t>P-1/2-3-i3</t>
        </is>
      </c>
      <c r="B223" s="7" t="inlineStr">
        <is>
          <t>1/2</t>
        </is>
      </c>
      <c r="C223" s="7" t="inlineStr">
        <is>
          <t>P</t>
        </is>
      </c>
      <c r="D223" s="7" t="inlineStr">
        <is>
          <t>PVC-40</t>
        </is>
      </c>
      <c r="E223" s="7" t="n">
        <v>3</v>
      </c>
      <c r="F223" s="7" t="n">
        <v>3</v>
      </c>
      <c r="G223" s="8" t="n"/>
      <c r="H223" s="27" t="n"/>
      <c r="I223" s="27" t="n"/>
      <c r="J223" s="8" t="n"/>
      <c r="K223" s="8" t="n"/>
      <c r="L223" s="10" t="n"/>
      <c r="M223" s="8" t="n"/>
      <c r="N223" s="11">
        <f>IF(OR(J223="",H223="",I223=""),"",J223/((I223-H223)*1440))</f>
        <v/>
      </c>
      <c r="O223" s="7" t="n"/>
      <c r="P223" s="7" t="n"/>
      <c r="Q223" s="7" t="n"/>
      <c r="R223" s="12" t="n"/>
      <c r="S223" s="13">
        <f>IF(OR(R223="",J223=""),"",R223/J223-1)</f>
        <v/>
      </c>
      <c r="T223" s="14">
        <f>IF(OR(L223="",R223="",J223=""),"",SQRT(4+(L223^2-4)*(R223/J223)^2))</f>
        <v/>
      </c>
      <c r="U223" s="7" t="n"/>
      <c r="V223" s="7" t="n"/>
    </row>
    <row r="224">
      <c r="A224" s="7" t="inlineStr">
        <is>
          <t>P-1/2-5-i1</t>
        </is>
      </c>
      <c r="B224" s="7" t="inlineStr">
        <is>
          <t>1/2</t>
        </is>
      </c>
      <c r="C224" s="7" t="inlineStr">
        <is>
          <t>P</t>
        </is>
      </c>
      <c r="D224" s="7" t="inlineStr">
        <is>
          <t>PVC-40</t>
        </is>
      </c>
      <c r="E224" s="7" t="n">
        <v>5</v>
      </c>
      <c r="F224" s="7" t="n">
        <v>1</v>
      </c>
      <c r="G224" s="8" t="n"/>
      <c r="H224" s="27" t="n"/>
      <c r="I224" s="27" t="n"/>
      <c r="J224" s="8" t="n"/>
      <c r="K224" s="8" t="n"/>
      <c r="L224" s="10" t="n"/>
      <c r="M224" s="8" t="n"/>
      <c r="N224" s="11">
        <f>IF(OR(J224="",H224="",I224=""),"",J224/((I224-H224)*1440))</f>
        <v/>
      </c>
      <c r="O224" s="7" t="n"/>
      <c r="P224" s="7" t="n"/>
      <c r="Q224" s="7" t="n"/>
      <c r="R224" s="12" t="n"/>
      <c r="S224" s="13">
        <f>IF(OR(R224="",J224=""),"",R224/J224-1)</f>
        <v/>
      </c>
      <c r="T224" s="14">
        <f>IF(OR(L224="",R224="",J224=""),"",SQRT(4+(L224^2-4)*(R224/J224)^2))</f>
        <v/>
      </c>
      <c r="U224" s="7" t="n"/>
      <c r="V224" s="7" t="n"/>
    </row>
    <row r="225">
      <c r="A225" s="7" t="inlineStr">
        <is>
          <t>P-1/2-5-i2</t>
        </is>
      </c>
      <c r="B225" s="7" t="inlineStr">
        <is>
          <t>1/2</t>
        </is>
      </c>
      <c r="C225" s="7" t="inlineStr">
        <is>
          <t>P</t>
        </is>
      </c>
      <c r="D225" s="7" t="inlineStr">
        <is>
          <t>PVC-40</t>
        </is>
      </c>
      <c r="E225" s="7" t="n">
        <v>5</v>
      </c>
      <c r="F225" s="7" t="n">
        <v>2</v>
      </c>
      <c r="G225" s="8" t="n"/>
      <c r="H225" s="27" t="n"/>
      <c r="I225" s="27" t="n"/>
      <c r="J225" s="8" t="n"/>
      <c r="K225" s="8" t="n"/>
      <c r="L225" s="10" t="n"/>
      <c r="M225" s="8" t="n"/>
      <c r="N225" s="11">
        <f>IF(OR(J225="",H225="",I225=""),"",J225/((I225-H225)*1440))</f>
        <v/>
      </c>
      <c r="O225" s="7" t="n"/>
      <c r="P225" s="7" t="n"/>
      <c r="Q225" s="7" t="n"/>
      <c r="R225" s="12" t="n"/>
      <c r="S225" s="13">
        <f>IF(OR(R225="",J225=""),"",R225/J225-1)</f>
        <v/>
      </c>
      <c r="T225" s="14">
        <f>IF(OR(L225="",R225="",J225=""),"",SQRT(4+(L225^2-4)*(R225/J225)^2))</f>
        <v/>
      </c>
      <c r="U225" s="7" t="n"/>
      <c r="V225" s="7" t="n"/>
    </row>
    <row r="226">
      <c r="A226" s="7" t="inlineStr">
        <is>
          <t>P-1/2-5-i3</t>
        </is>
      </c>
      <c r="B226" s="7" t="inlineStr">
        <is>
          <t>1/2</t>
        </is>
      </c>
      <c r="C226" s="7" t="inlineStr">
        <is>
          <t>P</t>
        </is>
      </c>
      <c r="D226" s="7" t="inlineStr">
        <is>
          <t>PVC-40</t>
        </is>
      </c>
      <c r="E226" s="7" t="n">
        <v>5</v>
      </c>
      <c r="F226" s="7" t="n">
        <v>3</v>
      </c>
      <c r="G226" s="8" t="n"/>
      <c r="H226" s="27" t="n"/>
      <c r="I226" s="27" t="n"/>
      <c r="J226" s="8" t="n"/>
      <c r="K226" s="8" t="n"/>
      <c r="L226" s="10" t="n"/>
      <c r="M226" s="8" t="n"/>
      <c r="N226" s="11">
        <f>IF(OR(J226="",H226="",I226=""),"",J226/((I226-H226)*1440))</f>
        <v/>
      </c>
      <c r="O226" s="7" t="n"/>
      <c r="P226" s="7" t="n"/>
      <c r="Q226" s="7" t="n"/>
      <c r="R226" s="12" t="n"/>
      <c r="S226" s="13">
        <f>IF(OR(R226="",J226=""),"",R226/J226-1)</f>
        <v/>
      </c>
      <c r="T226" s="14">
        <f>IF(OR(L226="",R226="",J226=""),"",SQRT(4+(L226^2-4)*(R226/J226)^2))</f>
        <v/>
      </c>
      <c r="U226" s="7" t="n"/>
      <c r="V226" s="7" t="n"/>
    </row>
    <row r="227">
      <c r="A227" s="7" t="inlineStr">
        <is>
          <t>P-1/2-10-i1</t>
        </is>
      </c>
      <c r="B227" s="7" t="inlineStr">
        <is>
          <t>1/2</t>
        </is>
      </c>
      <c r="C227" s="7" t="inlineStr">
        <is>
          <t>P</t>
        </is>
      </c>
      <c r="D227" s="7" t="inlineStr">
        <is>
          <t>PVC-40</t>
        </is>
      </c>
      <c r="E227" s="7" t="n">
        <v>10</v>
      </c>
      <c r="F227" s="7" t="n">
        <v>1</v>
      </c>
      <c r="G227" s="8" t="n"/>
      <c r="H227" s="27" t="n"/>
      <c r="I227" s="27" t="n"/>
      <c r="J227" s="8" t="n"/>
      <c r="K227" s="8" t="n"/>
      <c r="L227" s="10" t="n"/>
      <c r="M227" s="8" t="n"/>
      <c r="N227" s="11">
        <f>IF(OR(J227="",H227="",I227=""),"",J227/((I227-H227)*1440))</f>
        <v/>
      </c>
      <c r="O227" s="7" t="n"/>
      <c r="P227" s="7" t="n"/>
      <c r="Q227" s="7" t="n"/>
      <c r="R227" s="12" t="n"/>
      <c r="S227" s="13">
        <f>IF(OR(R227="",J227=""),"",R227/J227-1)</f>
        <v/>
      </c>
      <c r="T227" s="14">
        <f>IF(OR(L227="",R227="",J227=""),"",SQRT(4+(L227^2-4)*(R227/J227)^2))</f>
        <v/>
      </c>
      <c r="U227" s="7" t="n"/>
      <c r="V227" s="7" t="n"/>
    </row>
    <row r="228">
      <c r="A228" s="7" t="inlineStr">
        <is>
          <t>P-1/2-10-i2</t>
        </is>
      </c>
      <c r="B228" s="7" t="inlineStr">
        <is>
          <t>1/2</t>
        </is>
      </c>
      <c r="C228" s="7" t="inlineStr">
        <is>
          <t>P</t>
        </is>
      </c>
      <c r="D228" s="7" t="inlineStr">
        <is>
          <t>PVC-40</t>
        </is>
      </c>
      <c r="E228" s="7" t="n">
        <v>10</v>
      </c>
      <c r="F228" s="7" t="n">
        <v>2</v>
      </c>
      <c r="G228" s="8" t="n"/>
      <c r="H228" s="27" t="n"/>
      <c r="I228" s="27" t="n"/>
      <c r="J228" s="8" t="n"/>
      <c r="K228" s="8" t="n"/>
      <c r="L228" s="10" t="n"/>
      <c r="M228" s="8" t="n"/>
      <c r="N228" s="11">
        <f>IF(OR(J228="",H228="",I228=""),"",J228/((I228-H228)*1440))</f>
        <v/>
      </c>
      <c r="O228" s="7" t="n"/>
      <c r="P228" s="7" t="n"/>
      <c r="Q228" s="7" t="n"/>
      <c r="R228" s="12" t="n"/>
      <c r="S228" s="13">
        <f>IF(OR(R228="",J228=""),"",R228/J228-1)</f>
        <v/>
      </c>
      <c r="T228" s="14">
        <f>IF(OR(L228="",R228="",J228=""),"",SQRT(4+(L228^2-4)*(R228/J228)^2))</f>
        <v/>
      </c>
      <c r="U228" s="7" t="n"/>
      <c r="V228" s="7" t="n"/>
    </row>
    <row r="229">
      <c r="A229" s="7" t="inlineStr">
        <is>
          <t>P-1/2-10-i3</t>
        </is>
      </c>
      <c r="B229" s="7" t="inlineStr">
        <is>
          <t>1/2</t>
        </is>
      </c>
      <c r="C229" s="7" t="inlineStr">
        <is>
          <t>P</t>
        </is>
      </c>
      <c r="D229" s="7" t="inlineStr">
        <is>
          <t>PVC-40</t>
        </is>
      </c>
      <c r="E229" s="7" t="n">
        <v>10</v>
      </c>
      <c r="F229" s="7" t="n">
        <v>3</v>
      </c>
      <c r="G229" s="8" t="n"/>
      <c r="H229" s="27" t="n"/>
      <c r="I229" s="27" t="n"/>
      <c r="J229" s="8" t="n"/>
      <c r="K229" s="8" t="n"/>
      <c r="L229" s="10" t="n"/>
      <c r="M229" s="8" t="n"/>
      <c r="N229" s="11">
        <f>IF(OR(J229="",H229="",I229=""),"",J229/((I229-H229)*1440))</f>
        <v/>
      </c>
      <c r="O229" s="7" t="n"/>
      <c r="P229" s="7" t="n"/>
      <c r="Q229" s="7" t="n"/>
      <c r="R229" s="12" t="n"/>
      <c r="S229" s="13">
        <f>IF(OR(R229="",J229=""),"",R229/J229-1)</f>
        <v/>
      </c>
      <c r="T229" s="14">
        <f>IF(OR(L229="",R229="",J229=""),"",SQRT(4+(L229^2-4)*(R229/J229)^2))</f>
        <v/>
      </c>
      <c r="U229" s="7" t="n"/>
      <c r="V229" s="7" t="n"/>
    </row>
    <row r="230">
      <c r="A230" s="7" t="inlineStr">
        <is>
          <t>X-1/2-0.5-i1</t>
        </is>
      </c>
      <c r="B230" s="7" t="inlineStr">
        <is>
          <t>1/2</t>
        </is>
      </c>
      <c r="C230" s="7" t="inlineStr">
        <is>
          <t>X</t>
        </is>
      </c>
      <c r="D230" s="7" t="inlineStr">
        <is>
          <t>PEX-A</t>
        </is>
      </c>
      <c r="E230" s="7" t="n">
        <v>0.5</v>
      </c>
      <c r="F230" s="7" t="n">
        <v>1</v>
      </c>
      <c r="G230" s="8" t="n"/>
      <c r="H230" s="27" t="n"/>
      <c r="I230" s="27" t="n"/>
      <c r="J230" s="8" t="n"/>
      <c r="K230" s="8" t="n"/>
      <c r="L230" s="10" t="n"/>
      <c r="M230" s="8" t="n"/>
      <c r="N230" s="11">
        <f>IF(OR(J230="",H230="",I230=""),"",J230/((I230-H230)*1440))</f>
        <v/>
      </c>
      <c r="O230" s="7" t="n"/>
      <c r="P230" s="7" t="n"/>
      <c r="Q230" s="7" t="n"/>
      <c r="R230" s="12" t="n"/>
      <c r="S230" s="13">
        <f>IF(OR(R230="",J230=""),"",R230/J230-1)</f>
        <v/>
      </c>
      <c r="T230" s="14">
        <f>IF(OR(L230="",R230="",J230=""),"",SQRT(4+(L230^2-4)*(R230/J230)^2))</f>
        <v/>
      </c>
      <c r="U230" s="7" t="n"/>
      <c r="V230" s="7" t="n"/>
    </row>
    <row r="231">
      <c r="A231" s="7" t="inlineStr">
        <is>
          <t>X-1/2-0.5-i2</t>
        </is>
      </c>
      <c r="B231" s="7" t="inlineStr">
        <is>
          <t>1/2</t>
        </is>
      </c>
      <c r="C231" s="7" t="inlineStr">
        <is>
          <t>X</t>
        </is>
      </c>
      <c r="D231" s="7" t="inlineStr">
        <is>
          <t>PEX-A</t>
        </is>
      </c>
      <c r="E231" s="7" t="n">
        <v>0.5</v>
      </c>
      <c r="F231" s="7" t="n">
        <v>2</v>
      </c>
      <c r="G231" s="8" t="n"/>
      <c r="H231" s="27" t="n"/>
      <c r="I231" s="27" t="n"/>
      <c r="J231" s="8" t="n"/>
      <c r="K231" s="8" t="n"/>
      <c r="L231" s="10" t="n"/>
      <c r="M231" s="8" t="n"/>
      <c r="N231" s="11">
        <f>IF(OR(J231="",H231="",I231=""),"",J231/((I231-H231)*1440))</f>
        <v/>
      </c>
      <c r="O231" s="7" t="n"/>
      <c r="P231" s="7" t="n"/>
      <c r="Q231" s="7" t="n"/>
      <c r="R231" s="12" t="n"/>
      <c r="S231" s="13">
        <f>IF(OR(R231="",J231=""),"",R231/J231-1)</f>
        <v/>
      </c>
      <c r="T231" s="14">
        <f>IF(OR(L231="",R231="",J231=""),"",SQRT(4+(L231^2-4)*(R231/J231)^2))</f>
        <v/>
      </c>
      <c r="U231" s="7" t="n"/>
      <c r="V231" s="7" t="n"/>
    </row>
    <row r="232">
      <c r="A232" s="7" t="inlineStr">
        <is>
          <t>X-1/2-0.5-i3</t>
        </is>
      </c>
      <c r="B232" s="7" t="inlineStr">
        <is>
          <t>1/2</t>
        </is>
      </c>
      <c r="C232" s="7" t="inlineStr">
        <is>
          <t>X</t>
        </is>
      </c>
      <c r="D232" s="7" t="inlineStr">
        <is>
          <t>PEX-A</t>
        </is>
      </c>
      <c r="E232" s="7" t="n">
        <v>0.5</v>
      </c>
      <c r="F232" s="7" t="n">
        <v>3</v>
      </c>
      <c r="G232" s="8" t="n"/>
      <c r="H232" s="27" t="n"/>
      <c r="I232" s="27" t="n"/>
      <c r="J232" s="8" t="n"/>
      <c r="K232" s="8" t="n"/>
      <c r="L232" s="10" t="n"/>
      <c r="M232" s="8" t="n"/>
      <c r="N232" s="11">
        <f>IF(OR(J232="",H232="",I232=""),"",J232/((I232-H232)*1440))</f>
        <v/>
      </c>
      <c r="O232" s="7" t="n"/>
      <c r="P232" s="7" t="n"/>
      <c r="Q232" s="7" t="n"/>
      <c r="R232" s="12" t="n"/>
      <c r="S232" s="13">
        <f>IF(OR(R232="",J232=""),"",R232/J232-1)</f>
        <v/>
      </c>
      <c r="T232" s="14">
        <f>IF(OR(L232="",R232="",J232=""),"",SQRT(4+(L232^2-4)*(R232/J232)^2))</f>
        <v/>
      </c>
      <c r="U232" s="7" t="n"/>
      <c r="V232" s="7" t="n"/>
    </row>
    <row r="233">
      <c r="A233" s="7" t="inlineStr">
        <is>
          <t>X-1/2-1-i1</t>
        </is>
      </c>
      <c r="B233" s="7" t="inlineStr">
        <is>
          <t>1/2</t>
        </is>
      </c>
      <c r="C233" s="7" t="inlineStr">
        <is>
          <t>X</t>
        </is>
      </c>
      <c r="D233" s="7" t="inlineStr">
        <is>
          <t>PEX-A</t>
        </is>
      </c>
      <c r="E233" s="7" t="n">
        <v>1</v>
      </c>
      <c r="F233" s="7" t="n">
        <v>1</v>
      </c>
      <c r="G233" s="8" t="n"/>
      <c r="H233" s="27" t="n"/>
      <c r="I233" s="27" t="n"/>
      <c r="J233" s="8" t="n"/>
      <c r="K233" s="8" t="n"/>
      <c r="L233" s="10" t="n"/>
      <c r="M233" s="8" t="n"/>
      <c r="N233" s="11">
        <f>IF(OR(J233="",H233="",I233=""),"",J233/((I233-H233)*1440))</f>
        <v/>
      </c>
      <c r="O233" s="7" t="n"/>
      <c r="P233" s="7" t="n"/>
      <c r="Q233" s="7" t="n"/>
      <c r="R233" s="12" t="n"/>
      <c r="S233" s="13">
        <f>IF(OR(R233="",J233=""),"",R233/J233-1)</f>
        <v/>
      </c>
      <c r="T233" s="14">
        <f>IF(OR(L233="",R233="",J233=""),"",SQRT(4+(L233^2-4)*(R233/J233)^2))</f>
        <v/>
      </c>
      <c r="U233" s="7" t="n"/>
      <c r="V233" s="7" t="n"/>
    </row>
    <row r="234">
      <c r="A234" s="7" t="inlineStr">
        <is>
          <t>X-1/2-1-i2</t>
        </is>
      </c>
      <c r="B234" s="7" t="inlineStr">
        <is>
          <t>1/2</t>
        </is>
      </c>
      <c r="C234" s="7" t="inlineStr">
        <is>
          <t>X</t>
        </is>
      </c>
      <c r="D234" s="7" t="inlineStr">
        <is>
          <t>PEX-A</t>
        </is>
      </c>
      <c r="E234" s="7" t="n">
        <v>1</v>
      </c>
      <c r="F234" s="7" t="n">
        <v>2</v>
      </c>
      <c r="G234" s="8" t="n"/>
      <c r="H234" s="27" t="n"/>
      <c r="I234" s="27" t="n"/>
      <c r="J234" s="8" t="n"/>
      <c r="K234" s="8" t="n"/>
      <c r="L234" s="10" t="n"/>
      <c r="M234" s="8" t="n"/>
      <c r="N234" s="11">
        <f>IF(OR(J234="",H234="",I234=""),"",J234/((I234-H234)*1440))</f>
        <v/>
      </c>
      <c r="O234" s="7" t="n"/>
      <c r="P234" s="7" t="n"/>
      <c r="Q234" s="7" t="n"/>
      <c r="R234" s="12" t="n"/>
      <c r="S234" s="13">
        <f>IF(OR(R234="",J234=""),"",R234/J234-1)</f>
        <v/>
      </c>
      <c r="T234" s="14">
        <f>IF(OR(L234="",R234="",J234=""),"",SQRT(4+(L234^2-4)*(R234/J234)^2))</f>
        <v/>
      </c>
      <c r="U234" s="7" t="n"/>
      <c r="V234" s="7" t="n"/>
    </row>
    <row r="235">
      <c r="A235" s="7" t="inlineStr">
        <is>
          <t>X-1/2-1-i3</t>
        </is>
      </c>
      <c r="B235" s="7" t="inlineStr">
        <is>
          <t>1/2</t>
        </is>
      </c>
      <c r="C235" s="7" t="inlineStr">
        <is>
          <t>X</t>
        </is>
      </c>
      <c r="D235" s="7" t="inlineStr">
        <is>
          <t>PEX-A</t>
        </is>
      </c>
      <c r="E235" s="7" t="n">
        <v>1</v>
      </c>
      <c r="F235" s="7" t="n">
        <v>3</v>
      </c>
      <c r="G235" s="8" t="n"/>
      <c r="H235" s="27" t="n"/>
      <c r="I235" s="27" t="n"/>
      <c r="J235" s="8" t="n"/>
      <c r="K235" s="8" t="n"/>
      <c r="L235" s="10" t="n"/>
      <c r="M235" s="8" t="n"/>
      <c r="N235" s="11">
        <f>IF(OR(J235="",H235="",I235=""),"",J235/((I235-H235)*1440))</f>
        <v/>
      </c>
      <c r="O235" s="7" t="n"/>
      <c r="P235" s="7" t="n"/>
      <c r="Q235" s="7" t="n"/>
      <c r="R235" s="12" t="n"/>
      <c r="S235" s="13">
        <f>IF(OR(R235="",J235=""),"",R235/J235-1)</f>
        <v/>
      </c>
      <c r="T235" s="14">
        <f>IF(OR(L235="",R235="",J235=""),"",SQRT(4+(L235^2-4)*(R235/J235)^2))</f>
        <v/>
      </c>
      <c r="U235" s="7" t="n"/>
      <c r="V235" s="7" t="n"/>
    </row>
    <row r="236">
      <c r="A236" s="7" t="inlineStr">
        <is>
          <t>X-1/2-3-i1</t>
        </is>
      </c>
      <c r="B236" s="7" t="inlineStr">
        <is>
          <t>1/2</t>
        </is>
      </c>
      <c r="C236" s="7" t="inlineStr">
        <is>
          <t>X</t>
        </is>
      </c>
      <c r="D236" s="7" t="inlineStr">
        <is>
          <t>PEX-A</t>
        </is>
      </c>
      <c r="E236" s="7" t="n">
        <v>3</v>
      </c>
      <c r="F236" s="7" t="n">
        <v>1</v>
      </c>
      <c r="G236" s="8" t="n"/>
      <c r="H236" s="27" t="n"/>
      <c r="I236" s="27" t="n"/>
      <c r="J236" s="8" t="n"/>
      <c r="K236" s="8" t="n"/>
      <c r="L236" s="10" t="n"/>
      <c r="M236" s="8" t="n"/>
      <c r="N236" s="11">
        <f>IF(OR(J236="",H236="",I236=""),"",J236/((I236-H236)*1440))</f>
        <v/>
      </c>
      <c r="O236" s="7" t="n"/>
      <c r="P236" s="7" t="n"/>
      <c r="Q236" s="7" t="n"/>
      <c r="R236" s="12" t="n"/>
      <c r="S236" s="13">
        <f>IF(OR(R236="",J236=""),"",R236/J236-1)</f>
        <v/>
      </c>
      <c r="T236" s="14">
        <f>IF(OR(L236="",R236="",J236=""),"",SQRT(4+(L236^2-4)*(R236/J236)^2))</f>
        <v/>
      </c>
      <c r="U236" s="7" t="n"/>
      <c r="V236" s="7" t="n"/>
    </row>
    <row r="237">
      <c r="A237" s="7" t="inlineStr">
        <is>
          <t>X-1/2-3-i2</t>
        </is>
      </c>
      <c r="B237" s="7" t="inlineStr">
        <is>
          <t>1/2</t>
        </is>
      </c>
      <c r="C237" s="7" t="inlineStr">
        <is>
          <t>X</t>
        </is>
      </c>
      <c r="D237" s="7" t="inlineStr">
        <is>
          <t>PEX-A</t>
        </is>
      </c>
      <c r="E237" s="7" t="n">
        <v>3</v>
      </c>
      <c r="F237" s="7" t="n">
        <v>2</v>
      </c>
      <c r="G237" s="8" t="n"/>
      <c r="H237" s="27" t="n"/>
      <c r="I237" s="27" t="n"/>
      <c r="J237" s="8" t="n"/>
      <c r="K237" s="8" t="n"/>
      <c r="L237" s="10" t="n"/>
      <c r="M237" s="8" t="n"/>
      <c r="N237" s="11">
        <f>IF(OR(J237="",H237="",I237=""),"",J237/((I237-H237)*1440))</f>
        <v/>
      </c>
      <c r="O237" s="7" t="n"/>
      <c r="P237" s="7" t="n"/>
      <c r="Q237" s="7" t="n"/>
      <c r="R237" s="12" t="n"/>
      <c r="S237" s="13">
        <f>IF(OR(R237="",J237=""),"",R237/J237-1)</f>
        <v/>
      </c>
      <c r="T237" s="14">
        <f>IF(OR(L237="",R237="",J237=""),"",SQRT(4+(L237^2-4)*(R237/J237)^2))</f>
        <v/>
      </c>
      <c r="U237" s="7" t="n"/>
      <c r="V237" s="7" t="n"/>
    </row>
    <row r="238">
      <c r="A238" s="7" t="inlineStr">
        <is>
          <t>X-1/2-3-i3</t>
        </is>
      </c>
      <c r="B238" s="7" t="inlineStr">
        <is>
          <t>1/2</t>
        </is>
      </c>
      <c r="C238" s="7" t="inlineStr">
        <is>
          <t>X</t>
        </is>
      </c>
      <c r="D238" s="7" t="inlineStr">
        <is>
          <t>PEX-A</t>
        </is>
      </c>
      <c r="E238" s="7" t="n">
        <v>3</v>
      </c>
      <c r="F238" s="7" t="n">
        <v>3</v>
      </c>
      <c r="G238" s="8" t="n"/>
      <c r="H238" s="27" t="n"/>
      <c r="I238" s="27" t="n"/>
      <c r="J238" s="8" t="n"/>
      <c r="K238" s="8" t="n"/>
      <c r="L238" s="10" t="n"/>
      <c r="M238" s="8" t="n"/>
      <c r="N238" s="11">
        <f>IF(OR(J238="",H238="",I238=""),"",J238/((I238-H238)*1440))</f>
        <v/>
      </c>
      <c r="O238" s="7" t="n"/>
      <c r="P238" s="7" t="n"/>
      <c r="Q238" s="7" t="n"/>
      <c r="R238" s="12" t="n"/>
      <c r="S238" s="13">
        <f>IF(OR(R238="",J238=""),"",R238/J238-1)</f>
        <v/>
      </c>
      <c r="T238" s="14">
        <f>IF(OR(L238="",R238="",J238=""),"",SQRT(4+(L238^2-4)*(R238/J238)^2))</f>
        <v/>
      </c>
      <c r="U238" s="7" t="n"/>
      <c r="V238" s="7" t="n"/>
    </row>
    <row r="239">
      <c r="A239" s="7" t="inlineStr">
        <is>
          <t>X-1/2-5-i1</t>
        </is>
      </c>
      <c r="B239" s="7" t="inlineStr">
        <is>
          <t>1/2</t>
        </is>
      </c>
      <c r="C239" s="7" t="inlineStr">
        <is>
          <t>X</t>
        </is>
      </c>
      <c r="D239" s="7" t="inlineStr">
        <is>
          <t>PEX-A</t>
        </is>
      </c>
      <c r="E239" s="7" t="n">
        <v>5</v>
      </c>
      <c r="F239" s="7" t="n">
        <v>1</v>
      </c>
      <c r="G239" s="8" t="n"/>
      <c r="H239" s="27" t="n"/>
      <c r="I239" s="27" t="n"/>
      <c r="J239" s="8" t="n"/>
      <c r="K239" s="8" t="n"/>
      <c r="L239" s="10" t="n"/>
      <c r="M239" s="8" t="n"/>
      <c r="N239" s="11">
        <f>IF(OR(J239="",H239="",I239=""),"",J239/((I239-H239)*1440))</f>
        <v/>
      </c>
      <c r="O239" s="7" t="n"/>
      <c r="P239" s="7" t="n"/>
      <c r="Q239" s="7" t="n"/>
      <c r="R239" s="12" t="n"/>
      <c r="S239" s="13">
        <f>IF(OR(R239="",J239=""),"",R239/J239-1)</f>
        <v/>
      </c>
      <c r="T239" s="14">
        <f>IF(OR(L239="",R239="",J239=""),"",SQRT(4+(L239^2-4)*(R239/J239)^2))</f>
        <v/>
      </c>
      <c r="U239" s="7" t="n"/>
      <c r="V239" s="7" t="n"/>
    </row>
    <row r="240">
      <c r="A240" s="7" t="inlineStr">
        <is>
          <t>X-1/2-5-i2</t>
        </is>
      </c>
      <c r="B240" s="7" t="inlineStr">
        <is>
          <t>1/2</t>
        </is>
      </c>
      <c r="C240" s="7" t="inlineStr">
        <is>
          <t>X</t>
        </is>
      </c>
      <c r="D240" s="7" t="inlineStr">
        <is>
          <t>PEX-A</t>
        </is>
      </c>
      <c r="E240" s="7" t="n">
        <v>5</v>
      </c>
      <c r="F240" s="7" t="n">
        <v>2</v>
      </c>
      <c r="G240" s="8" t="n"/>
      <c r="H240" s="27" t="n"/>
      <c r="I240" s="27" t="n"/>
      <c r="J240" s="8" t="n"/>
      <c r="K240" s="8" t="n"/>
      <c r="L240" s="10" t="n"/>
      <c r="M240" s="8" t="n"/>
      <c r="N240" s="11">
        <f>IF(OR(J240="",H240="",I240=""),"",J240/((I240-H240)*1440))</f>
        <v/>
      </c>
      <c r="O240" s="7" t="n"/>
      <c r="P240" s="7" t="n"/>
      <c r="Q240" s="7" t="n"/>
      <c r="R240" s="12" t="n"/>
      <c r="S240" s="13">
        <f>IF(OR(R240="",J240=""),"",R240/J240-1)</f>
        <v/>
      </c>
      <c r="T240" s="14">
        <f>IF(OR(L240="",R240="",J240=""),"",SQRT(4+(L240^2-4)*(R240/J240)^2))</f>
        <v/>
      </c>
      <c r="U240" s="7" t="n"/>
      <c r="V240" s="7" t="n"/>
    </row>
    <row r="241">
      <c r="A241" s="7" t="inlineStr">
        <is>
          <t>X-1/2-5-i3</t>
        </is>
      </c>
      <c r="B241" s="7" t="inlineStr">
        <is>
          <t>1/2</t>
        </is>
      </c>
      <c r="C241" s="7" t="inlineStr">
        <is>
          <t>X</t>
        </is>
      </c>
      <c r="D241" s="7" t="inlineStr">
        <is>
          <t>PEX-A</t>
        </is>
      </c>
      <c r="E241" s="7" t="n">
        <v>5</v>
      </c>
      <c r="F241" s="7" t="n">
        <v>3</v>
      </c>
      <c r="G241" s="8" t="n"/>
      <c r="H241" s="27" t="n"/>
      <c r="I241" s="27" t="n"/>
      <c r="J241" s="8" t="n"/>
      <c r="K241" s="8" t="n"/>
      <c r="L241" s="10" t="n"/>
      <c r="M241" s="8" t="n"/>
      <c r="N241" s="11">
        <f>IF(OR(J241="",H241="",I241=""),"",J241/((I241-H241)*1440))</f>
        <v/>
      </c>
      <c r="O241" s="7" t="n"/>
      <c r="P241" s="7" t="n"/>
      <c r="Q241" s="7" t="n"/>
      <c r="R241" s="12" t="n"/>
      <c r="S241" s="13">
        <f>IF(OR(R241="",J241=""),"",R241/J241-1)</f>
        <v/>
      </c>
      <c r="T241" s="14">
        <f>IF(OR(L241="",R241="",J241=""),"",SQRT(4+(L241^2-4)*(R241/J241)^2))</f>
        <v/>
      </c>
      <c r="U241" s="7" t="n"/>
      <c r="V241" s="7" t="n"/>
    </row>
    <row r="242">
      <c r="A242" s="7" t="inlineStr">
        <is>
          <t>X-1/2-10-i1</t>
        </is>
      </c>
      <c r="B242" s="7" t="inlineStr">
        <is>
          <t>1/2</t>
        </is>
      </c>
      <c r="C242" s="7" t="inlineStr">
        <is>
          <t>X</t>
        </is>
      </c>
      <c r="D242" s="7" t="inlineStr">
        <is>
          <t>PEX-A</t>
        </is>
      </c>
      <c r="E242" s="7" t="n">
        <v>10</v>
      </c>
      <c r="F242" s="7" t="n">
        <v>1</v>
      </c>
      <c r="G242" s="8" t="n"/>
      <c r="H242" s="27" t="n"/>
      <c r="I242" s="27" t="n"/>
      <c r="J242" s="8" t="n"/>
      <c r="K242" s="8" t="n"/>
      <c r="L242" s="10" t="n"/>
      <c r="M242" s="8" t="n"/>
      <c r="N242" s="11">
        <f>IF(OR(J242="",H242="",I242=""),"",J242/((I242-H242)*1440))</f>
        <v/>
      </c>
      <c r="O242" s="7" t="n"/>
      <c r="P242" s="7" t="n"/>
      <c r="Q242" s="7" t="n"/>
      <c r="R242" s="12" t="n"/>
      <c r="S242" s="13">
        <f>IF(OR(R242="",J242=""),"",R242/J242-1)</f>
        <v/>
      </c>
      <c r="T242" s="14">
        <f>IF(OR(L242="",R242="",J242=""),"",SQRT(4+(L242^2-4)*(R242/J242)^2))</f>
        <v/>
      </c>
      <c r="U242" s="7" t="n"/>
      <c r="V242" s="7" t="n"/>
    </row>
    <row r="243">
      <c r="A243" s="7" t="inlineStr">
        <is>
          <t>X-1/2-10-i2</t>
        </is>
      </c>
      <c r="B243" s="7" t="inlineStr">
        <is>
          <t>1/2</t>
        </is>
      </c>
      <c r="C243" s="7" t="inlineStr">
        <is>
          <t>X</t>
        </is>
      </c>
      <c r="D243" s="7" t="inlineStr">
        <is>
          <t>PEX-A</t>
        </is>
      </c>
      <c r="E243" s="7" t="n">
        <v>10</v>
      </c>
      <c r="F243" s="7" t="n">
        <v>2</v>
      </c>
      <c r="G243" s="8" t="n"/>
      <c r="H243" s="27" t="n"/>
      <c r="I243" s="27" t="n"/>
      <c r="J243" s="8" t="n"/>
      <c r="K243" s="8" t="n"/>
      <c r="L243" s="10" t="n"/>
      <c r="M243" s="8" t="n"/>
      <c r="N243" s="11">
        <f>IF(OR(J243="",H243="",I243=""),"",J243/((I243-H243)*1440))</f>
        <v/>
      </c>
      <c r="O243" s="7" t="n"/>
      <c r="P243" s="7" t="n"/>
      <c r="Q243" s="7" t="n"/>
      <c r="R243" s="12" t="n"/>
      <c r="S243" s="13">
        <f>IF(OR(R243="",J243=""),"",R243/J243-1)</f>
        <v/>
      </c>
      <c r="T243" s="14">
        <f>IF(OR(L243="",R243="",J243=""),"",SQRT(4+(L243^2-4)*(R243/J243)^2))</f>
        <v/>
      </c>
      <c r="U243" s="7" t="n"/>
      <c r="V243" s="7" t="n"/>
    </row>
    <row r="244">
      <c r="A244" s="7" t="inlineStr">
        <is>
          <t>X-1/2-10-i3</t>
        </is>
      </c>
      <c r="B244" s="7" t="inlineStr">
        <is>
          <t>1/2</t>
        </is>
      </c>
      <c r="C244" s="7" t="inlineStr">
        <is>
          <t>X</t>
        </is>
      </c>
      <c r="D244" s="7" t="inlineStr">
        <is>
          <t>PEX-A</t>
        </is>
      </c>
      <c r="E244" s="7" t="n">
        <v>10</v>
      </c>
      <c r="F244" s="7" t="n">
        <v>3</v>
      </c>
      <c r="G244" s="8" t="n"/>
      <c r="H244" s="27" t="n"/>
      <c r="I244" s="27" t="n"/>
      <c r="J244" s="8" t="n"/>
      <c r="K244" s="8" t="n"/>
      <c r="L244" s="10" t="n"/>
      <c r="M244" s="8" t="n"/>
      <c r="N244" s="11">
        <f>IF(OR(J244="",H244="",I244=""),"",J244/((I244-H244)*1440))</f>
        <v/>
      </c>
      <c r="O244" s="7" t="n"/>
      <c r="P244" s="7" t="n"/>
      <c r="Q244" s="7" t="n"/>
      <c r="R244" s="12" t="n"/>
      <c r="S244" s="13">
        <f>IF(OR(R244="",J244=""),"",R244/J244-1)</f>
        <v/>
      </c>
      <c r="T244" s="14">
        <f>IF(OR(L244="",R244="",J244=""),"",SQRT(4+(L244^2-4)*(R244/J244)^2))</f>
        <v/>
      </c>
      <c r="U244" s="7" t="n"/>
      <c r="V244" s="7" t="n"/>
    </row>
    <row r="245">
      <c r="A245" s="7" t="inlineStr">
        <is>
          <t>p-1/2-0.5-i1</t>
        </is>
      </c>
      <c r="B245" s="7" t="inlineStr">
        <is>
          <t>1/2</t>
        </is>
      </c>
      <c r="C245" s="7" t="inlineStr">
        <is>
          <t>p</t>
        </is>
      </c>
      <c r="D245" s="7" t="inlineStr">
        <is>
          <t>PVC-80</t>
        </is>
      </c>
      <c r="E245" s="7" t="n">
        <v>0.5</v>
      </c>
      <c r="F245" s="7" t="n">
        <v>1</v>
      </c>
      <c r="G245" s="8" t="n"/>
      <c r="H245" s="27" t="n"/>
      <c r="I245" s="27" t="n"/>
      <c r="J245" s="8" t="n"/>
      <c r="K245" s="8" t="n"/>
      <c r="L245" s="10" t="n"/>
      <c r="M245" s="8" t="n"/>
      <c r="N245" s="11">
        <f>IF(OR(J245="",H245="",I245=""),"",J245/((I245-H245)*1440))</f>
        <v/>
      </c>
      <c r="O245" s="7" t="n"/>
      <c r="P245" s="7" t="n"/>
      <c r="Q245" s="7" t="n"/>
      <c r="R245" s="12" t="n"/>
      <c r="S245" s="13">
        <f>IF(OR(R245="",J245=""),"",R245/J245-1)</f>
        <v/>
      </c>
      <c r="T245" s="14">
        <f>IF(OR(L245="",R245="",J245=""),"",SQRT(4+(L245^2-4)*(R245/J245)^2))</f>
        <v/>
      </c>
      <c r="U245" s="7" t="n"/>
      <c r="V245" s="7" t="n"/>
    </row>
    <row r="246">
      <c r="A246" s="7" t="inlineStr">
        <is>
          <t>p-1/2-0.5-i2</t>
        </is>
      </c>
      <c r="B246" s="7" t="inlineStr">
        <is>
          <t>1/2</t>
        </is>
      </c>
      <c r="C246" s="7" t="inlineStr">
        <is>
          <t>p</t>
        </is>
      </c>
      <c r="D246" s="7" t="inlineStr">
        <is>
          <t>PVC-80</t>
        </is>
      </c>
      <c r="E246" s="7" t="n">
        <v>0.5</v>
      </c>
      <c r="F246" s="7" t="n">
        <v>2</v>
      </c>
      <c r="G246" s="8" t="n"/>
      <c r="H246" s="27" t="n"/>
      <c r="I246" s="27" t="n"/>
      <c r="J246" s="8" t="n"/>
      <c r="K246" s="8" t="n"/>
      <c r="L246" s="10" t="n"/>
      <c r="M246" s="8" t="n"/>
      <c r="N246" s="11">
        <f>IF(OR(J246="",H246="",I246=""),"",J246/((I246-H246)*1440))</f>
        <v/>
      </c>
      <c r="O246" s="7" t="n"/>
      <c r="P246" s="7" t="n"/>
      <c r="Q246" s="7" t="n"/>
      <c r="R246" s="12" t="n"/>
      <c r="S246" s="13">
        <f>IF(OR(R246="",J246=""),"",R246/J246-1)</f>
        <v/>
      </c>
      <c r="T246" s="14">
        <f>IF(OR(L246="",R246="",J246=""),"",SQRT(4+(L246^2-4)*(R246/J246)^2))</f>
        <v/>
      </c>
      <c r="U246" s="7" t="n"/>
      <c r="V246" s="7" t="n"/>
    </row>
    <row r="247">
      <c r="A247" s="7" t="inlineStr">
        <is>
          <t>p-1/2-0.5-i3</t>
        </is>
      </c>
      <c r="B247" s="7" t="inlineStr">
        <is>
          <t>1/2</t>
        </is>
      </c>
      <c r="C247" s="7" t="inlineStr">
        <is>
          <t>p</t>
        </is>
      </c>
      <c r="D247" s="7" t="inlineStr">
        <is>
          <t>PVC-80</t>
        </is>
      </c>
      <c r="E247" s="7" t="n">
        <v>0.5</v>
      </c>
      <c r="F247" s="7" t="n">
        <v>3</v>
      </c>
      <c r="G247" s="8" t="n"/>
      <c r="H247" s="27" t="n"/>
      <c r="I247" s="27" t="n"/>
      <c r="J247" s="8" t="n"/>
      <c r="K247" s="8" t="n"/>
      <c r="L247" s="10" t="n"/>
      <c r="M247" s="8" t="n"/>
      <c r="N247" s="11">
        <f>IF(OR(J247="",H247="",I247=""),"",J247/((I247-H247)*1440))</f>
        <v/>
      </c>
      <c r="O247" s="7" t="n"/>
      <c r="P247" s="7" t="n"/>
      <c r="Q247" s="7" t="n"/>
      <c r="R247" s="12" t="n"/>
      <c r="S247" s="13">
        <f>IF(OR(R247="",J247=""),"",R247/J247-1)</f>
        <v/>
      </c>
      <c r="T247" s="14">
        <f>IF(OR(L247="",R247="",J247=""),"",SQRT(4+(L247^2-4)*(R247/J247)^2))</f>
        <v/>
      </c>
      <c r="U247" s="7" t="n"/>
      <c r="V247" s="7" t="n"/>
    </row>
    <row r="248">
      <c r="A248" s="7" t="inlineStr">
        <is>
          <t>p-1/2-1-i1</t>
        </is>
      </c>
      <c r="B248" s="7" t="inlineStr">
        <is>
          <t>1/2</t>
        </is>
      </c>
      <c r="C248" s="7" t="inlineStr">
        <is>
          <t>p</t>
        </is>
      </c>
      <c r="D248" s="7" t="inlineStr">
        <is>
          <t>PVC-80</t>
        </is>
      </c>
      <c r="E248" s="7" t="n">
        <v>1</v>
      </c>
      <c r="F248" s="7" t="n">
        <v>1</v>
      </c>
      <c r="G248" s="8" t="n"/>
      <c r="H248" s="27" t="n"/>
      <c r="I248" s="27" t="n"/>
      <c r="J248" s="8" t="n"/>
      <c r="K248" s="8" t="n"/>
      <c r="L248" s="10" t="n"/>
      <c r="M248" s="8" t="n"/>
      <c r="N248" s="11">
        <f>IF(OR(J248="",H248="",I248=""),"",J248/((I248-H248)*1440))</f>
        <v/>
      </c>
      <c r="O248" s="7" t="n"/>
      <c r="P248" s="7" t="n"/>
      <c r="Q248" s="7" t="n"/>
      <c r="R248" s="12" t="n"/>
      <c r="S248" s="13">
        <f>IF(OR(R248="",J248=""),"",R248/J248-1)</f>
        <v/>
      </c>
      <c r="T248" s="14">
        <f>IF(OR(L248="",R248="",J248=""),"",SQRT(4+(L248^2-4)*(R248/J248)^2))</f>
        <v/>
      </c>
      <c r="U248" s="7" t="n"/>
      <c r="V248" s="7" t="n"/>
    </row>
    <row r="249">
      <c r="A249" s="7" t="inlineStr">
        <is>
          <t>p-1/2-1-i2</t>
        </is>
      </c>
      <c r="B249" s="7" t="inlineStr">
        <is>
          <t>1/2</t>
        </is>
      </c>
      <c r="C249" s="7" t="inlineStr">
        <is>
          <t>p</t>
        </is>
      </c>
      <c r="D249" s="7" t="inlineStr">
        <is>
          <t>PVC-80</t>
        </is>
      </c>
      <c r="E249" s="7" t="n">
        <v>1</v>
      </c>
      <c r="F249" s="7" t="n">
        <v>2</v>
      </c>
      <c r="G249" s="8" t="n"/>
      <c r="H249" s="27" t="n"/>
      <c r="I249" s="27" t="n"/>
      <c r="J249" s="8" t="n"/>
      <c r="K249" s="8" t="n"/>
      <c r="L249" s="10" t="n"/>
      <c r="M249" s="8" t="n"/>
      <c r="N249" s="11">
        <f>IF(OR(J249="",H249="",I249=""),"",J249/((I249-H249)*1440))</f>
        <v/>
      </c>
      <c r="O249" s="7" t="n"/>
      <c r="P249" s="7" t="n"/>
      <c r="Q249" s="7" t="n"/>
      <c r="R249" s="12" t="n"/>
      <c r="S249" s="13">
        <f>IF(OR(R249="",J249=""),"",R249/J249-1)</f>
        <v/>
      </c>
      <c r="T249" s="14">
        <f>IF(OR(L249="",R249="",J249=""),"",SQRT(4+(L249^2-4)*(R249/J249)^2))</f>
        <v/>
      </c>
      <c r="U249" s="7" t="n"/>
      <c r="V249" s="7" t="n"/>
    </row>
    <row r="250">
      <c r="A250" s="7" t="inlineStr">
        <is>
          <t>p-1/2-1-i3</t>
        </is>
      </c>
      <c r="B250" s="7" t="inlineStr">
        <is>
          <t>1/2</t>
        </is>
      </c>
      <c r="C250" s="7" t="inlineStr">
        <is>
          <t>p</t>
        </is>
      </c>
      <c r="D250" s="7" t="inlineStr">
        <is>
          <t>PVC-80</t>
        </is>
      </c>
      <c r="E250" s="7" t="n">
        <v>1</v>
      </c>
      <c r="F250" s="7" t="n">
        <v>3</v>
      </c>
      <c r="G250" s="8" t="n"/>
      <c r="H250" s="27" t="n"/>
      <c r="I250" s="27" t="n"/>
      <c r="J250" s="8" t="n"/>
      <c r="K250" s="8" t="n"/>
      <c r="L250" s="10" t="n"/>
      <c r="M250" s="8" t="n"/>
      <c r="N250" s="11">
        <f>IF(OR(J250="",H250="",I250=""),"",J250/((I250-H250)*1440))</f>
        <v/>
      </c>
      <c r="O250" s="7" t="n"/>
      <c r="P250" s="7" t="n"/>
      <c r="Q250" s="7" t="n"/>
      <c r="R250" s="12" t="n"/>
      <c r="S250" s="13">
        <f>IF(OR(R250="",J250=""),"",R250/J250-1)</f>
        <v/>
      </c>
      <c r="T250" s="14">
        <f>IF(OR(L250="",R250="",J250=""),"",SQRT(4+(L250^2-4)*(R250/J250)^2))</f>
        <v/>
      </c>
      <c r="U250" s="7" t="n"/>
      <c r="V250" s="7" t="n"/>
    </row>
    <row r="251">
      <c r="A251" s="7" t="inlineStr">
        <is>
          <t>p-1/2-3-i1</t>
        </is>
      </c>
      <c r="B251" s="7" t="inlineStr">
        <is>
          <t>1/2</t>
        </is>
      </c>
      <c r="C251" s="7" t="inlineStr">
        <is>
          <t>p</t>
        </is>
      </c>
      <c r="D251" s="7" t="inlineStr">
        <is>
          <t>PVC-80</t>
        </is>
      </c>
      <c r="E251" s="7" t="n">
        <v>3</v>
      </c>
      <c r="F251" s="7" t="n">
        <v>1</v>
      </c>
      <c r="G251" s="8" t="n"/>
      <c r="H251" s="27" t="n"/>
      <c r="I251" s="27" t="n"/>
      <c r="J251" s="8" t="n"/>
      <c r="K251" s="8" t="n"/>
      <c r="L251" s="10" t="n"/>
      <c r="M251" s="8" t="n"/>
      <c r="N251" s="11">
        <f>IF(OR(J251="",H251="",I251=""),"",J251/((I251-H251)*1440))</f>
        <v/>
      </c>
      <c r="O251" s="7" t="n"/>
      <c r="P251" s="7" t="n"/>
      <c r="Q251" s="7" t="n"/>
      <c r="R251" s="12" t="n"/>
      <c r="S251" s="13">
        <f>IF(OR(R251="",J251=""),"",R251/J251-1)</f>
        <v/>
      </c>
      <c r="T251" s="14">
        <f>IF(OR(L251="",R251="",J251=""),"",SQRT(4+(L251^2-4)*(R251/J251)^2))</f>
        <v/>
      </c>
      <c r="U251" s="7" t="n"/>
      <c r="V251" s="7" t="n"/>
    </row>
    <row r="252">
      <c r="A252" s="7" t="inlineStr">
        <is>
          <t>p-1/2-3-i2</t>
        </is>
      </c>
      <c r="B252" s="7" t="inlineStr">
        <is>
          <t>1/2</t>
        </is>
      </c>
      <c r="C252" s="7" t="inlineStr">
        <is>
          <t>p</t>
        </is>
      </c>
      <c r="D252" s="7" t="inlineStr">
        <is>
          <t>PVC-80</t>
        </is>
      </c>
      <c r="E252" s="7" t="n">
        <v>3</v>
      </c>
      <c r="F252" s="7" t="n">
        <v>2</v>
      </c>
      <c r="G252" s="8" t="n"/>
      <c r="H252" s="27" t="n"/>
      <c r="I252" s="27" t="n"/>
      <c r="J252" s="8" t="n"/>
      <c r="K252" s="8" t="n"/>
      <c r="L252" s="10" t="n"/>
      <c r="M252" s="8" t="n"/>
      <c r="N252" s="11">
        <f>IF(OR(J252="",H252="",I252=""),"",J252/((I252-H252)*1440))</f>
        <v/>
      </c>
      <c r="O252" s="7" t="n"/>
      <c r="P252" s="7" t="n"/>
      <c r="Q252" s="7" t="n"/>
      <c r="R252" s="12" t="n"/>
      <c r="S252" s="13">
        <f>IF(OR(R252="",J252=""),"",R252/J252-1)</f>
        <v/>
      </c>
      <c r="T252" s="14">
        <f>IF(OR(L252="",R252="",J252=""),"",SQRT(4+(L252^2-4)*(R252/J252)^2))</f>
        <v/>
      </c>
      <c r="U252" s="7" t="n"/>
      <c r="V252" s="7" t="n"/>
    </row>
    <row r="253">
      <c r="A253" s="7" t="inlineStr">
        <is>
          <t>p-1/2-3-i3</t>
        </is>
      </c>
      <c r="B253" s="7" t="inlineStr">
        <is>
          <t>1/2</t>
        </is>
      </c>
      <c r="C253" s="7" t="inlineStr">
        <is>
          <t>p</t>
        </is>
      </c>
      <c r="D253" s="7" t="inlineStr">
        <is>
          <t>PVC-80</t>
        </is>
      </c>
      <c r="E253" s="7" t="n">
        <v>3</v>
      </c>
      <c r="F253" s="7" t="n">
        <v>3</v>
      </c>
      <c r="G253" s="8" t="n"/>
      <c r="H253" s="27" t="n"/>
      <c r="I253" s="27" t="n"/>
      <c r="J253" s="8" t="n"/>
      <c r="K253" s="8" t="n"/>
      <c r="L253" s="10" t="n"/>
      <c r="M253" s="8" t="n"/>
      <c r="N253" s="11">
        <f>IF(OR(J253="",H253="",I253=""),"",J253/((I253-H253)*1440))</f>
        <v/>
      </c>
      <c r="O253" s="7" t="n"/>
      <c r="P253" s="7" t="n"/>
      <c r="Q253" s="7" t="n"/>
      <c r="R253" s="12" t="n"/>
      <c r="S253" s="13">
        <f>IF(OR(R253="",J253=""),"",R253/J253-1)</f>
        <v/>
      </c>
      <c r="T253" s="14">
        <f>IF(OR(L253="",R253="",J253=""),"",SQRT(4+(L253^2-4)*(R253/J253)^2))</f>
        <v/>
      </c>
      <c r="U253" s="7" t="n"/>
      <c r="V253" s="7" t="n"/>
    </row>
    <row r="254">
      <c r="A254" s="7" t="inlineStr">
        <is>
          <t>p-1/2-5-i1</t>
        </is>
      </c>
      <c r="B254" s="7" t="inlineStr">
        <is>
          <t>1/2</t>
        </is>
      </c>
      <c r="C254" s="7" t="inlineStr">
        <is>
          <t>p</t>
        </is>
      </c>
      <c r="D254" s="7" t="inlineStr">
        <is>
          <t>PVC-80</t>
        </is>
      </c>
      <c r="E254" s="7" t="n">
        <v>5</v>
      </c>
      <c r="F254" s="7" t="n">
        <v>1</v>
      </c>
      <c r="G254" s="8" t="n"/>
      <c r="H254" s="27" t="n"/>
      <c r="I254" s="27" t="n"/>
      <c r="J254" s="8" t="n"/>
      <c r="K254" s="8" t="n"/>
      <c r="L254" s="10" t="n"/>
      <c r="M254" s="8" t="n"/>
      <c r="N254" s="11">
        <f>IF(OR(J254="",H254="",I254=""),"",J254/((I254-H254)*1440))</f>
        <v/>
      </c>
      <c r="O254" s="7" t="n"/>
      <c r="P254" s="7" t="n"/>
      <c r="Q254" s="7" t="n"/>
      <c r="R254" s="12" t="n"/>
      <c r="S254" s="13">
        <f>IF(OR(R254="",J254=""),"",R254/J254-1)</f>
        <v/>
      </c>
      <c r="T254" s="14">
        <f>IF(OR(L254="",R254="",J254=""),"",SQRT(4+(L254^2-4)*(R254/J254)^2))</f>
        <v/>
      </c>
      <c r="U254" s="7" t="n"/>
      <c r="V254" s="7" t="n"/>
    </row>
    <row r="255">
      <c r="A255" s="7" t="inlineStr">
        <is>
          <t>p-1/2-5-i2</t>
        </is>
      </c>
      <c r="B255" s="7" t="inlineStr">
        <is>
          <t>1/2</t>
        </is>
      </c>
      <c r="C255" s="7" t="inlineStr">
        <is>
          <t>p</t>
        </is>
      </c>
      <c r="D255" s="7" t="inlineStr">
        <is>
          <t>PVC-80</t>
        </is>
      </c>
      <c r="E255" s="7" t="n">
        <v>5</v>
      </c>
      <c r="F255" s="7" t="n">
        <v>2</v>
      </c>
      <c r="G255" s="8" t="n"/>
      <c r="H255" s="27" t="n"/>
      <c r="I255" s="27" t="n"/>
      <c r="J255" s="8" t="n"/>
      <c r="K255" s="8" t="n"/>
      <c r="L255" s="10" t="n"/>
      <c r="M255" s="8" t="n"/>
      <c r="N255" s="11">
        <f>IF(OR(J255="",H255="",I255=""),"",J255/((I255-H255)*1440))</f>
        <v/>
      </c>
      <c r="O255" s="7" t="n"/>
      <c r="P255" s="7" t="n"/>
      <c r="Q255" s="7" t="n"/>
      <c r="R255" s="12" t="n"/>
      <c r="S255" s="13">
        <f>IF(OR(R255="",J255=""),"",R255/J255-1)</f>
        <v/>
      </c>
      <c r="T255" s="14">
        <f>IF(OR(L255="",R255="",J255=""),"",SQRT(4+(L255^2-4)*(R255/J255)^2))</f>
        <v/>
      </c>
      <c r="U255" s="7" t="n"/>
      <c r="V255" s="7" t="n"/>
    </row>
    <row r="256">
      <c r="A256" s="7" t="inlineStr">
        <is>
          <t>p-1/2-5-i3</t>
        </is>
      </c>
      <c r="B256" s="7" t="inlineStr">
        <is>
          <t>1/2</t>
        </is>
      </c>
      <c r="C256" s="7" t="inlineStr">
        <is>
          <t>p</t>
        </is>
      </c>
      <c r="D256" s="7" t="inlineStr">
        <is>
          <t>PVC-80</t>
        </is>
      </c>
      <c r="E256" s="7" t="n">
        <v>5</v>
      </c>
      <c r="F256" s="7" t="n">
        <v>3</v>
      </c>
      <c r="G256" s="8" t="n"/>
      <c r="H256" s="27" t="n"/>
      <c r="I256" s="27" t="n"/>
      <c r="J256" s="8" t="n"/>
      <c r="K256" s="8" t="n"/>
      <c r="L256" s="10" t="n"/>
      <c r="M256" s="8" t="n"/>
      <c r="N256" s="11">
        <f>IF(OR(J256="",H256="",I256=""),"",J256/((I256-H256)*1440))</f>
        <v/>
      </c>
      <c r="O256" s="7" t="n"/>
      <c r="P256" s="7" t="n"/>
      <c r="Q256" s="7" t="n"/>
      <c r="R256" s="12" t="n"/>
      <c r="S256" s="13">
        <f>IF(OR(R256="",J256=""),"",R256/J256-1)</f>
        <v/>
      </c>
      <c r="T256" s="14">
        <f>IF(OR(L256="",R256="",J256=""),"",SQRT(4+(L256^2-4)*(R256/J256)^2))</f>
        <v/>
      </c>
      <c r="U256" s="7" t="n"/>
      <c r="V256" s="7" t="n"/>
    </row>
    <row r="257">
      <c r="A257" s="7" t="inlineStr">
        <is>
          <t>p-1/2-10-i1</t>
        </is>
      </c>
      <c r="B257" s="7" t="inlineStr">
        <is>
          <t>1/2</t>
        </is>
      </c>
      <c r="C257" s="7" t="inlineStr">
        <is>
          <t>p</t>
        </is>
      </c>
      <c r="D257" s="7" t="inlineStr">
        <is>
          <t>PVC-80</t>
        </is>
      </c>
      <c r="E257" s="7" t="n">
        <v>10</v>
      </c>
      <c r="F257" s="7" t="n">
        <v>1</v>
      </c>
      <c r="G257" s="8" t="n"/>
      <c r="H257" s="27" t="n"/>
      <c r="I257" s="27" t="n"/>
      <c r="J257" s="8" t="n"/>
      <c r="K257" s="8" t="n"/>
      <c r="L257" s="10" t="n"/>
      <c r="M257" s="8" t="n"/>
      <c r="N257" s="11">
        <f>IF(OR(J257="",H257="",I257=""),"",J257/((I257-H257)*1440))</f>
        <v/>
      </c>
      <c r="O257" s="7" t="n"/>
      <c r="P257" s="7" t="n"/>
      <c r="Q257" s="7" t="n"/>
      <c r="R257" s="12" t="n"/>
      <c r="S257" s="13">
        <f>IF(OR(R257="",J257=""),"",R257/J257-1)</f>
        <v/>
      </c>
      <c r="T257" s="14">
        <f>IF(OR(L257="",R257="",J257=""),"",SQRT(4+(L257^2-4)*(R257/J257)^2))</f>
        <v/>
      </c>
      <c r="U257" s="7" t="n"/>
      <c r="V257" s="7" t="n"/>
    </row>
    <row r="258">
      <c r="A258" s="7" t="inlineStr">
        <is>
          <t>p-1/2-10-i2</t>
        </is>
      </c>
      <c r="B258" s="7" t="inlineStr">
        <is>
          <t>1/2</t>
        </is>
      </c>
      <c r="C258" s="7" t="inlineStr">
        <is>
          <t>p</t>
        </is>
      </c>
      <c r="D258" s="7" t="inlineStr">
        <is>
          <t>PVC-80</t>
        </is>
      </c>
      <c r="E258" s="7" t="n">
        <v>10</v>
      </c>
      <c r="F258" s="7" t="n">
        <v>2</v>
      </c>
      <c r="G258" s="8" t="n"/>
      <c r="H258" s="27" t="n"/>
      <c r="I258" s="27" t="n"/>
      <c r="J258" s="8" t="n"/>
      <c r="K258" s="8" t="n"/>
      <c r="L258" s="10" t="n"/>
      <c r="M258" s="8" t="n"/>
      <c r="N258" s="11">
        <f>IF(OR(J258="",H258="",I258=""),"",J258/((I258-H258)*1440))</f>
        <v/>
      </c>
      <c r="O258" s="7" t="n"/>
      <c r="P258" s="7" t="n"/>
      <c r="Q258" s="7" t="n"/>
      <c r="R258" s="12" t="n"/>
      <c r="S258" s="13">
        <f>IF(OR(R258="",J258=""),"",R258/J258-1)</f>
        <v/>
      </c>
      <c r="T258" s="14">
        <f>IF(OR(L258="",R258="",J258=""),"",SQRT(4+(L258^2-4)*(R258/J258)^2))</f>
        <v/>
      </c>
      <c r="U258" s="7" t="n"/>
      <c r="V258" s="7" t="n"/>
    </row>
    <row r="259">
      <c r="A259" s="7" t="inlineStr">
        <is>
          <t>p-1/2-10-i3</t>
        </is>
      </c>
      <c r="B259" s="7" t="inlineStr">
        <is>
          <t>1/2</t>
        </is>
      </c>
      <c r="C259" s="7" t="inlineStr">
        <is>
          <t>p</t>
        </is>
      </c>
      <c r="D259" s="7" t="inlineStr">
        <is>
          <t>PVC-80</t>
        </is>
      </c>
      <c r="E259" s="7" t="n">
        <v>10</v>
      </c>
      <c r="F259" s="7" t="n">
        <v>3</v>
      </c>
      <c r="G259" s="8" t="n"/>
      <c r="H259" s="27" t="n"/>
      <c r="I259" s="27" t="n"/>
      <c r="J259" s="8" t="n"/>
      <c r="K259" s="8" t="n"/>
      <c r="L259" s="10" t="n"/>
      <c r="M259" s="8" t="n"/>
      <c r="N259" s="11">
        <f>IF(OR(J259="",H259="",I259=""),"",J259/((I259-H259)*1440))</f>
        <v/>
      </c>
      <c r="O259" s="7" t="n"/>
      <c r="P259" s="7" t="n"/>
      <c r="Q259" s="7" t="n"/>
      <c r="R259" s="12" t="n"/>
      <c r="S259" s="13">
        <f>IF(OR(R259="",J259=""),"",R259/J259-1)</f>
        <v/>
      </c>
      <c r="T259" s="14">
        <f>IF(OR(L259="",R259="",J259=""),"",SQRT(4+(L259^2-4)*(R259/J259)^2))</f>
        <v/>
      </c>
      <c r="U259" s="7" t="n"/>
      <c r="V259" s="7" t="n"/>
    </row>
    <row r="260">
      <c r="A260" s="7" t="inlineStr">
        <is>
          <t>x-1/2-0.5-i1</t>
        </is>
      </c>
      <c r="B260" s="7" t="inlineStr">
        <is>
          <t>1/2</t>
        </is>
      </c>
      <c r="C260" s="7" t="inlineStr">
        <is>
          <t>x</t>
        </is>
      </c>
      <c r="D260" s="7" t="inlineStr">
        <is>
          <t>PEX-B</t>
        </is>
      </c>
      <c r="E260" s="7" t="n">
        <v>0.5</v>
      </c>
      <c r="F260" s="7" t="n">
        <v>1</v>
      </c>
      <c r="G260" s="8" t="n"/>
      <c r="H260" s="27" t="n"/>
      <c r="I260" s="27" t="n"/>
      <c r="J260" s="8" t="n"/>
      <c r="K260" s="8" t="n"/>
      <c r="L260" s="10" t="n"/>
      <c r="M260" s="8" t="n"/>
      <c r="N260" s="11">
        <f>IF(OR(J260="",H260="",I260=""),"",J260/((I260-H260)*1440))</f>
        <v/>
      </c>
      <c r="O260" s="7" t="n"/>
      <c r="P260" s="7" t="n"/>
      <c r="Q260" s="7" t="n"/>
      <c r="R260" s="12" t="n"/>
      <c r="S260" s="13">
        <f>IF(OR(R260="",J260=""),"",R260/J260-1)</f>
        <v/>
      </c>
      <c r="T260" s="14">
        <f>IF(OR(L260="",R260="",J260=""),"",SQRT(4+(L260^2-4)*(R260/J260)^2))</f>
        <v/>
      </c>
      <c r="U260" s="7" t="n"/>
      <c r="V260" s="7" t="n"/>
    </row>
    <row r="261">
      <c r="A261" s="7" t="inlineStr">
        <is>
          <t>x-1/2-0.5-i2</t>
        </is>
      </c>
      <c r="B261" s="7" t="inlineStr">
        <is>
          <t>1/2</t>
        </is>
      </c>
      <c r="C261" s="7" t="inlineStr">
        <is>
          <t>x</t>
        </is>
      </c>
      <c r="D261" s="7" t="inlineStr">
        <is>
          <t>PEX-B</t>
        </is>
      </c>
      <c r="E261" s="7" t="n">
        <v>0.5</v>
      </c>
      <c r="F261" s="7" t="n">
        <v>2</v>
      </c>
      <c r="G261" s="8" t="n"/>
      <c r="H261" s="27" t="n"/>
      <c r="I261" s="27" t="n"/>
      <c r="J261" s="8" t="n"/>
      <c r="K261" s="8" t="n"/>
      <c r="L261" s="10" t="n"/>
      <c r="M261" s="8" t="n"/>
      <c r="N261" s="11">
        <f>IF(OR(J261="",H261="",I261=""),"",J261/((I261-H261)*1440))</f>
        <v/>
      </c>
      <c r="O261" s="7" t="n"/>
      <c r="P261" s="7" t="n"/>
      <c r="Q261" s="7" t="n"/>
      <c r="R261" s="12" t="n"/>
      <c r="S261" s="13">
        <f>IF(OR(R261="",J261=""),"",R261/J261-1)</f>
        <v/>
      </c>
      <c r="T261" s="14">
        <f>IF(OR(L261="",R261="",J261=""),"",SQRT(4+(L261^2-4)*(R261/J261)^2))</f>
        <v/>
      </c>
      <c r="U261" s="7" t="n"/>
      <c r="V261" s="7" t="n"/>
    </row>
    <row r="262">
      <c r="A262" s="7" t="inlineStr">
        <is>
          <t>x-1/2-0.5-i3</t>
        </is>
      </c>
      <c r="B262" s="7" t="inlineStr">
        <is>
          <t>1/2</t>
        </is>
      </c>
      <c r="C262" s="7" t="inlineStr">
        <is>
          <t>x</t>
        </is>
      </c>
      <c r="D262" s="7" t="inlineStr">
        <is>
          <t>PEX-B</t>
        </is>
      </c>
      <c r="E262" s="7" t="n">
        <v>0.5</v>
      </c>
      <c r="F262" s="7" t="n">
        <v>3</v>
      </c>
      <c r="G262" s="8" t="n"/>
      <c r="H262" s="27" t="n"/>
      <c r="I262" s="27" t="n"/>
      <c r="J262" s="8" t="n"/>
      <c r="K262" s="8" t="n"/>
      <c r="L262" s="10" t="n"/>
      <c r="M262" s="8" t="n"/>
      <c r="N262" s="11">
        <f>IF(OR(J262="",H262="",I262=""),"",J262/((I262-H262)*1440))</f>
        <v/>
      </c>
      <c r="O262" s="7" t="n"/>
      <c r="P262" s="7" t="n"/>
      <c r="Q262" s="7" t="n"/>
      <c r="R262" s="12" t="n"/>
      <c r="S262" s="13">
        <f>IF(OR(R262="",J262=""),"",R262/J262-1)</f>
        <v/>
      </c>
      <c r="T262" s="14">
        <f>IF(OR(L262="",R262="",J262=""),"",SQRT(4+(L262^2-4)*(R262/J262)^2))</f>
        <v/>
      </c>
      <c r="U262" s="7" t="n"/>
      <c r="V262" s="7" t="n"/>
    </row>
    <row r="263">
      <c r="A263" s="7" t="inlineStr">
        <is>
          <t>x-1/2-1-i1</t>
        </is>
      </c>
      <c r="B263" s="7" t="inlineStr">
        <is>
          <t>1/2</t>
        </is>
      </c>
      <c r="C263" s="7" t="inlineStr">
        <is>
          <t>x</t>
        </is>
      </c>
      <c r="D263" s="7" t="inlineStr">
        <is>
          <t>PEX-B</t>
        </is>
      </c>
      <c r="E263" s="7" t="n">
        <v>1</v>
      </c>
      <c r="F263" s="7" t="n">
        <v>1</v>
      </c>
      <c r="G263" s="8" t="n"/>
      <c r="H263" s="27" t="n"/>
      <c r="I263" s="27" t="n"/>
      <c r="J263" s="8" t="n"/>
      <c r="K263" s="8" t="n"/>
      <c r="L263" s="10" t="n"/>
      <c r="M263" s="8" t="n"/>
      <c r="N263" s="11">
        <f>IF(OR(J263="",H263="",I263=""),"",J263/((I263-H263)*1440))</f>
        <v/>
      </c>
      <c r="O263" s="7" t="n"/>
      <c r="P263" s="7" t="n"/>
      <c r="Q263" s="7" t="n"/>
      <c r="R263" s="12" t="n"/>
      <c r="S263" s="13">
        <f>IF(OR(R263="",J263=""),"",R263/J263-1)</f>
        <v/>
      </c>
      <c r="T263" s="14">
        <f>IF(OR(L263="",R263="",J263=""),"",SQRT(4+(L263^2-4)*(R263/J263)^2))</f>
        <v/>
      </c>
      <c r="U263" s="7" t="n"/>
      <c r="V263" s="7" t="n"/>
    </row>
    <row r="264">
      <c r="A264" s="7" t="inlineStr">
        <is>
          <t>x-1/2-1-i2</t>
        </is>
      </c>
      <c r="B264" s="7" t="inlineStr">
        <is>
          <t>1/2</t>
        </is>
      </c>
      <c r="C264" s="7" t="inlineStr">
        <is>
          <t>x</t>
        </is>
      </c>
      <c r="D264" s="7" t="inlineStr">
        <is>
          <t>PEX-B</t>
        </is>
      </c>
      <c r="E264" s="7" t="n">
        <v>1</v>
      </c>
      <c r="F264" s="7" t="n">
        <v>2</v>
      </c>
      <c r="G264" s="8" t="n"/>
      <c r="H264" s="27" t="n"/>
      <c r="I264" s="27" t="n"/>
      <c r="J264" s="8" t="n"/>
      <c r="K264" s="8" t="n"/>
      <c r="L264" s="10" t="n"/>
      <c r="M264" s="8" t="n"/>
      <c r="N264" s="11">
        <f>IF(OR(J264="",H264="",I264=""),"",J264/((I264-H264)*1440))</f>
        <v/>
      </c>
      <c r="O264" s="7" t="n"/>
      <c r="P264" s="7" t="n"/>
      <c r="Q264" s="7" t="n"/>
      <c r="R264" s="12" t="n"/>
      <c r="S264" s="13">
        <f>IF(OR(R264="",J264=""),"",R264/J264-1)</f>
        <v/>
      </c>
      <c r="T264" s="14">
        <f>IF(OR(L264="",R264="",J264=""),"",SQRT(4+(L264^2-4)*(R264/J264)^2))</f>
        <v/>
      </c>
      <c r="U264" s="7" t="n"/>
      <c r="V264" s="7" t="n"/>
    </row>
    <row r="265">
      <c r="A265" s="7" t="inlineStr">
        <is>
          <t>x-1/2-1-i3</t>
        </is>
      </c>
      <c r="B265" s="7" t="inlineStr">
        <is>
          <t>1/2</t>
        </is>
      </c>
      <c r="C265" s="7" t="inlineStr">
        <is>
          <t>x</t>
        </is>
      </c>
      <c r="D265" s="7" t="inlineStr">
        <is>
          <t>PEX-B</t>
        </is>
      </c>
      <c r="E265" s="7" t="n">
        <v>1</v>
      </c>
      <c r="F265" s="7" t="n">
        <v>3</v>
      </c>
      <c r="G265" s="8" t="n"/>
      <c r="H265" s="27" t="n"/>
      <c r="I265" s="27" t="n"/>
      <c r="J265" s="8" t="n"/>
      <c r="K265" s="8" t="n"/>
      <c r="L265" s="10" t="n"/>
      <c r="M265" s="8" t="n"/>
      <c r="N265" s="11">
        <f>IF(OR(J265="",H265="",I265=""),"",J265/((I265-H265)*1440))</f>
        <v/>
      </c>
      <c r="O265" s="7" t="n"/>
      <c r="P265" s="7" t="n"/>
      <c r="Q265" s="7" t="n"/>
      <c r="R265" s="12" t="n"/>
      <c r="S265" s="13">
        <f>IF(OR(R265="",J265=""),"",R265/J265-1)</f>
        <v/>
      </c>
      <c r="T265" s="14">
        <f>IF(OR(L265="",R265="",J265=""),"",SQRT(4+(L265^2-4)*(R265/J265)^2))</f>
        <v/>
      </c>
      <c r="U265" s="7" t="n"/>
      <c r="V265" s="7" t="n"/>
    </row>
    <row r="266">
      <c r="A266" s="7" t="inlineStr">
        <is>
          <t>x-1/2-3-i1</t>
        </is>
      </c>
      <c r="B266" s="7" t="inlineStr">
        <is>
          <t>1/2</t>
        </is>
      </c>
      <c r="C266" s="7" t="inlineStr">
        <is>
          <t>x</t>
        </is>
      </c>
      <c r="D266" s="7" t="inlineStr">
        <is>
          <t>PEX-B</t>
        </is>
      </c>
      <c r="E266" s="7" t="n">
        <v>3</v>
      </c>
      <c r="F266" s="7" t="n">
        <v>1</v>
      </c>
      <c r="G266" s="8" t="n"/>
      <c r="H266" s="27" t="n"/>
      <c r="I266" s="27" t="n"/>
      <c r="J266" s="8" t="n"/>
      <c r="K266" s="8" t="n"/>
      <c r="L266" s="10" t="n"/>
      <c r="M266" s="8" t="n"/>
      <c r="N266" s="11">
        <f>IF(OR(J266="",H266="",I266=""),"",J266/((I266-H266)*1440))</f>
        <v/>
      </c>
      <c r="O266" s="7" t="n"/>
      <c r="P266" s="7" t="n"/>
      <c r="Q266" s="7" t="n"/>
      <c r="R266" s="12" t="n"/>
      <c r="S266" s="13">
        <f>IF(OR(R266="",J266=""),"",R266/J266-1)</f>
        <v/>
      </c>
      <c r="T266" s="14">
        <f>IF(OR(L266="",R266="",J266=""),"",SQRT(4+(L266^2-4)*(R266/J266)^2))</f>
        <v/>
      </c>
      <c r="U266" s="7" t="n"/>
      <c r="V266" s="7" t="n"/>
    </row>
    <row r="267">
      <c r="A267" s="7" t="inlineStr">
        <is>
          <t>x-1/2-3-i2</t>
        </is>
      </c>
      <c r="B267" s="7" t="inlineStr">
        <is>
          <t>1/2</t>
        </is>
      </c>
      <c r="C267" s="7" t="inlineStr">
        <is>
          <t>x</t>
        </is>
      </c>
      <c r="D267" s="7" t="inlineStr">
        <is>
          <t>PEX-B</t>
        </is>
      </c>
      <c r="E267" s="7" t="n">
        <v>3</v>
      </c>
      <c r="F267" s="7" t="n">
        <v>2</v>
      </c>
      <c r="G267" s="8" t="n"/>
      <c r="H267" s="27" t="n"/>
      <c r="I267" s="27" t="n"/>
      <c r="J267" s="8" t="n"/>
      <c r="K267" s="8" t="n"/>
      <c r="L267" s="10" t="n"/>
      <c r="M267" s="8" t="n"/>
      <c r="N267" s="11">
        <f>IF(OR(J267="",H267="",I267=""),"",J267/((I267-H267)*1440))</f>
        <v/>
      </c>
      <c r="O267" s="7" t="n"/>
      <c r="P267" s="7" t="n"/>
      <c r="Q267" s="7" t="n"/>
      <c r="R267" s="12" t="n"/>
      <c r="S267" s="13">
        <f>IF(OR(R267="",J267=""),"",R267/J267-1)</f>
        <v/>
      </c>
      <c r="T267" s="14">
        <f>IF(OR(L267="",R267="",J267=""),"",SQRT(4+(L267^2-4)*(R267/J267)^2))</f>
        <v/>
      </c>
      <c r="U267" s="7" t="n"/>
      <c r="V267" s="7" t="n"/>
    </row>
    <row r="268">
      <c r="A268" s="7" t="inlineStr">
        <is>
          <t>x-1/2-3-i3</t>
        </is>
      </c>
      <c r="B268" s="7" t="inlineStr">
        <is>
          <t>1/2</t>
        </is>
      </c>
      <c r="C268" s="7" t="inlineStr">
        <is>
          <t>x</t>
        </is>
      </c>
      <c r="D268" s="7" t="inlineStr">
        <is>
          <t>PEX-B</t>
        </is>
      </c>
      <c r="E268" s="7" t="n">
        <v>3</v>
      </c>
      <c r="F268" s="7" t="n">
        <v>3</v>
      </c>
      <c r="G268" s="8" t="n"/>
      <c r="H268" s="27" t="n"/>
      <c r="I268" s="27" t="n"/>
      <c r="J268" s="8" t="n"/>
      <c r="K268" s="8" t="n"/>
      <c r="L268" s="10" t="n"/>
      <c r="M268" s="8" t="n"/>
      <c r="N268" s="11">
        <f>IF(OR(J268="",H268="",I268=""),"",J268/((I268-H268)*1440))</f>
        <v/>
      </c>
      <c r="O268" s="7" t="n"/>
      <c r="P268" s="7" t="n"/>
      <c r="Q268" s="7" t="n"/>
      <c r="R268" s="12" t="n"/>
      <c r="S268" s="13">
        <f>IF(OR(R268="",J268=""),"",R268/J268-1)</f>
        <v/>
      </c>
      <c r="T268" s="14">
        <f>IF(OR(L268="",R268="",J268=""),"",SQRT(4+(L268^2-4)*(R268/J268)^2))</f>
        <v/>
      </c>
      <c r="U268" s="7" t="n"/>
      <c r="V268" s="7" t="n"/>
    </row>
    <row r="269">
      <c r="A269" s="7" t="inlineStr">
        <is>
          <t>x-1/2-5-i1</t>
        </is>
      </c>
      <c r="B269" s="7" t="inlineStr">
        <is>
          <t>1/2</t>
        </is>
      </c>
      <c r="C269" s="7" t="inlineStr">
        <is>
          <t>x</t>
        </is>
      </c>
      <c r="D269" s="7" t="inlineStr">
        <is>
          <t>PEX-B</t>
        </is>
      </c>
      <c r="E269" s="7" t="n">
        <v>5</v>
      </c>
      <c r="F269" s="7" t="n">
        <v>1</v>
      </c>
      <c r="G269" s="8" t="n"/>
      <c r="H269" s="27" t="n"/>
      <c r="I269" s="27" t="n"/>
      <c r="J269" s="8" t="n"/>
      <c r="K269" s="8" t="n"/>
      <c r="L269" s="10" t="n"/>
      <c r="M269" s="8" t="n"/>
      <c r="N269" s="11">
        <f>IF(OR(J269="",H269="",I269=""),"",J269/((I269-H269)*1440))</f>
        <v/>
      </c>
      <c r="O269" s="7" t="n"/>
      <c r="P269" s="7" t="n"/>
      <c r="Q269" s="7" t="n"/>
      <c r="R269" s="12" t="n"/>
      <c r="S269" s="13">
        <f>IF(OR(R269="",J269=""),"",R269/J269-1)</f>
        <v/>
      </c>
      <c r="T269" s="14">
        <f>IF(OR(L269="",R269="",J269=""),"",SQRT(4+(L269^2-4)*(R269/J269)^2))</f>
        <v/>
      </c>
      <c r="U269" s="7" t="n"/>
      <c r="V269" s="7" t="n"/>
    </row>
    <row r="270">
      <c r="A270" s="7" t="inlineStr">
        <is>
          <t>x-1/2-5-i2</t>
        </is>
      </c>
      <c r="B270" s="7" t="inlineStr">
        <is>
          <t>1/2</t>
        </is>
      </c>
      <c r="C270" s="7" t="inlineStr">
        <is>
          <t>x</t>
        </is>
      </c>
      <c r="D270" s="7" t="inlineStr">
        <is>
          <t>PEX-B</t>
        </is>
      </c>
      <c r="E270" s="7" t="n">
        <v>5</v>
      </c>
      <c r="F270" s="7" t="n">
        <v>2</v>
      </c>
      <c r="G270" s="8" t="n"/>
      <c r="H270" s="27" t="n"/>
      <c r="I270" s="27" t="n"/>
      <c r="J270" s="8" t="n"/>
      <c r="K270" s="8" t="n"/>
      <c r="L270" s="10" t="n"/>
      <c r="M270" s="8" t="n"/>
      <c r="N270" s="11">
        <f>IF(OR(J270="",H270="",I270=""),"",J270/((I270-H270)*1440))</f>
        <v/>
      </c>
      <c r="O270" s="7" t="n"/>
      <c r="P270" s="7" t="n"/>
      <c r="Q270" s="7" t="n"/>
      <c r="R270" s="12" t="n"/>
      <c r="S270" s="13">
        <f>IF(OR(R270="",J270=""),"",R270/J270-1)</f>
        <v/>
      </c>
      <c r="T270" s="14">
        <f>IF(OR(L270="",R270="",J270=""),"",SQRT(4+(L270^2-4)*(R270/J270)^2))</f>
        <v/>
      </c>
      <c r="U270" s="7" t="n"/>
      <c r="V270" s="7" t="n"/>
    </row>
    <row r="271">
      <c r="A271" s="7" t="inlineStr">
        <is>
          <t>x-1/2-5-i3</t>
        </is>
      </c>
      <c r="B271" s="7" t="inlineStr">
        <is>
          <t>1/2</t>
        </is>
      </c>
      <c r="C271" s="7" t="inlineStr">
        <is>
          <t>x</t>
        </is>
      </c>
      <c r="D271" s="7" t="inlineStr">
        <is>
          <t>PEX-B</t>
        </is>
      </c>
      <c r="E271" s="7" t="n">
        <v>5</v>
      </c>
      <c r="F271" s="7" t="n">
        <v>3</v>
      </c>
      <c r="G271" s="8" t="n"/>
      <c r="H271" s="27" t="n"/>
      <c r="I271" s="27" t="n"/>
      <c r="J271" s="8" t="n"/>
      <c r="K271" s="8" t="n"/>
      <c r="L271" s="10" t="n"/>
      <c r="M271" s="8" t="n"/>
      <c r="N271" s="11">
        <f>IF(OR(J271="",H271="",I271=""),"",J271/((I271-H271)*1440))</f>
        <v/>
      </c>
      <c r="O271" s="7" t="n"/>
      <c r="P271" s="7" t="n"/>
      <c r="Q271" s="7" t="n"/>
      <c r="R271" s="12" t="n"/>
      <c r="S271" s="13">
        <f>IF(OR(R271="",J271=""),"",R271/J271-1)</f>
        <v/>
      </c>
      <c r="T271" s="14">
        <f>IF(OR(L271="",R271="",J271=""),"",SQRT(4+(L271^2-4)*(R271/J271)^2))</f>
        <v/>
      </c>
      <c r="U271" s="7" t="n"/>
      <c r="V271" s="7" t="n"/>
    </row>
    <row r="272">
      <c r="A272" s="7" t="inlineStr">
        <is>
          <t>x-1/2-10-i1</t>
        </is>
      </c>
      <c r="B272" s="7" t="inlineStr">
        <is>
          <t>1/2</t>
        </is>
      </c>
      <c r="C272" s="7" t="inlineStr">
        <is>
          <t>x</t>
        </is>
      </c>
      <c r="D272" s="7" t="inlineStr">
        <is>
          <t>PEX-B</t>
        </is>
      </c>
      <c r="E272" s="7" t="n">
        <v>10</v>
      </c>
      <c r="F272" s="7" t="n">
        <v>1</v>
      </c>
      <c r="G272" s="8" t="n"/>
      <c r="H272" s="27" t="n"/>
      <c r="I272" s="27" t="n"/>
      <c r="J272" s="8" t="n"/>
      <c r="K272" s="8" t="n"/>
      <c r="L272" s="10" t="n"/>
      <c r="M272" s="8" t="n"/>
      <c r="N272" s="11">
        <f>IF(OR(J272="",H272="",I272=""),"",J272/((I272-H272)*1440))</f>
        <v/>
      </c>
      <c r="O272" s="7" t="n"/>
      <c r="P272" s="7" t="n"/>
      <c r="Q272" s="7" t="n"/>
      <c r="R272" s="12" t="n"/>
      <c r="S272" s="13">
        <f>IF(OR(R272="",J272=""),"",R272/J272-1)</f>
        <v/>
      </c>
      <c r="T272" s="14">
        <f>IF(OR(L272="",R272="",J272=""),"",SQRT(4+(L272^2-4)*(R272/J272)^2))</f>
        <v/>
      </c>
      <c r="U272" s="7" t="n"/>
      <c r="V272" s="7" t="n"/>
    </row>
    <row r="273">
      <c r="A273" s="7" t="inlineStr">
        <is>
          <t>x-1/2-10-i2</t>
        </is>
      </c>
      <c r="B273" s="7" t="inlineStr">
        <is>
          <t>1/2</t>
        </is>
      </c>
      <c r="C273" s="7" t="inlineStr">
        <is>
          <t>x</t>
        </is>
      </c>
      <c r="D273" s="7" t="inlineStr">
        <is>
          <t>PEX-B</t>
        </is>
      </c>
      <c r="E273" s="7" t="n">
        <v>10</v>
      </c>
      <c r="F273" s="7" t="n">
        <v>2</v>
      </c>
      <c r="G273" s="8" t="n"/>
      <c r="H273" s="27" t="n"/>
      <c r="I273" s="27" t="n"/>
      <c r="J273" s="8" t="n"/>
      <c r="K273" s="8" t="n"/>
      <c r="L273" s="10" t="n"/>
      <c r="M273" s="8" t="n"/>
      <c r="N273" s="11">
        <f>IF(OR(J273="",H273="",I273=""),"",J273/((I273-H273)*1440))</f>
        <v/>
      </c>
      <c r="O273" s="7" t="n"/>
      <c r="P273" s="7" t="n"/>
      <c r="Q273" s="7" t="n"/>
      <c r="R273" s="12" t="n"/>
      <c r="S273" s="13">
        <f>IF(OR(R273="",J273=""),"",R273/J273-1)</f>
        <v/>
      </c>
      <c r="T273" s="14">
        <f>IF(OR(L273="",R273="",J273=""),"",SQRT(4+(L273^2-4)*(R273/J273)^2))</f>
        <v/>
      </c>
      <c r="U273" s="7" t="n"/>
      <c r="V273" s="7" t="n"/>
    </row>
    <row r="274">
      <c r="A274" s="7" t="inlineStr">
        <is>
          <t>x-1/2-10-i3</t>
        </is>
      </c>
      <c r="B274" s="7" t="inlineStr">
        <is>
          <t>1/2</t>
        </is>
      </c>
      <c r="C274" s="7" t="inlineStr">
        <is>
          <t>x</t>
        </is>
      </c>
      <c r="D274" s="7" t="inlineStr">
        <is>
          <t>PEX-B</t>
        </is>
      </c>
      <c r="E274" s="7" t="n">
        <v>10</v>
      </c>
      <c r="F274" s="7" t="n">
        <v>3</v>
      </c>
      <c r="G274" s="8" t="n"/>
      <c r="H274" s="27" t="n"/>
      <c r="I274" s="27" t="n"/>
      <c r="J274" s="8" t="n"/>
      <c r="K274" s="8" t="n"/>
      <c r="L274" s="10" t="n"/>
      <c r="M274" s="8" t="n"/>
      <c r="N274" s="11">
        <f>IF(OR(J274="",H274="",I274=""),"",J274/((I274-H274)*1440))</f>
        <v/>
      </c>
      <c r="O274" s="7" t="n"/>
      <c r="P274" s="7" t="n"/>
      <c r="Q274" s="7" t="n"/>
      <c r="R274" s="12" t="n"/>
      <c r="S274" s="13">
        <f>IF(OR(R274="",J274=""),"",R274/J274-1)</f>
        <v/>
      </c>
      <c r="T274" s="14">
        <f>IF(OR(L274="",R274="",J274=""),"",SQRT(4+(L274^2-4)*(R274/J274)^2))</f>
        <v/>
      </c>
      <c r="U274" s="7" t="n"/>
      <c r="V274" s="7" t="n"/>
    </row>
    <row r="275">
      <c r="A275" s="7" t="inlineStr">
        <is>
          <t>B-1/2-0.5-i1</t>
        </is>
      </c>
      <c r="B275" s="7" t="inlineStr">
        <is>
          <t>1/2</t>
        </is>
      </c>
      <c r="C275" s="7" t="inlineStr">
        <is>
          <t>B</t>
        </is>
      </c>
      <c r="D275" s="7" t="inlineStr">
        <is>
          <t>B (.815)</t>
        </is>
      </c>
      <c r="E275" s="7" t="n">
        <v>0.5</v>
      </c>
      <c r="F275" s="7" t="n">
        <v>1</v>
      </c>
      <c r="G275" s="8" t="n"/>
      <c r="H275" s="27" t="n"/>
      <c r="I275" s="27" t="n"/>
      <c r="J275" s="8" t="n"/>
      <c r="K275" s="8" t="n"/>
      <c r="L275" s="10" t="n"/>
      <c r="M275" s="8" t="n"/>
      <c r="N275" s="11">
        <f>IF(OR(J275="",H275="",I275=""),"",J275/((I275-H275)*1440))</f>
        <v/>
      </c>
      <c r="O275" s="7" t="n"/>
      <c r="P275" s="7" t="n"/>
      <c r="Q275" s="7" t="n"/>
      <c r="R275" s="12" t="n"/>
      <c r="S275" s="13">
        <f>IF(OR(R275="",J275=""),"",R275/J275-1)</f>
        <v/>
      </c>
      <c r="T275" s="14">
        <f>IF(OR(L275="",R275="",J275=""),"",SQRT(4+(L275^2-4)*(R275/J275)^2))</f>
        <v/>
      </c>
      <c r="U275" s="7" t="n"/>
      <c r="V275" s="7" t="n"/>
    </row>
    <row r="276">
      <c r="A276" s="7" t="inlineStr">
        <is>
          <t>B-1/2-0.5-i2</t>
        </is>
      </c>
      <c r="B276" s="7" t="inlineStr">
        <is>
          <t>1/2</t>
        </is>
      </c>
      <c r="C276" s="7" t="inlineStr">
        <is>
          <t>B</t>
        </is>
      </c>
      <c r="D276" s="7" t="inlineStr">
        <is>
          <t>B (.815)</t>
        </is>
      </c>
      <c r="E276" s="7" t="n">
        <v>0.5</v>
      </c>
      <c r="F276" s="7" t="n">
        <v>2</v>
      </c>
      <c r="G276" s="8" t="n"/>
      <c r="H276" s="27" t="n"/>
      <c r="I276" s="27" t="n"/>
      <c r="J276" s="8" t="n"/>
      <c r="K276" s="8" t="n"/>
      <c r="L276" s="10" t="n"/>
      <c r="M276" s="8" t="n"/>
      <c r="N276" s="11">
        <f>IF(OR(J276="",H276="",I276=""),"",J276/((I276-H276)*1440))</f>
        <v/>
      </c>
      <c r="O276" s="7" t="n"/>
      <c r="P276" s="7" t="n"/>
      <c r="Q276" s="7" t="n"/>
      <c r="R276" s="12" t="n"/>
      <c r="S276" s="13">
        <f>IF(OR(R276="",J276=""),"",R276/J276-1)</f>
        <v/>
      </c>
      <c r="T276" s="14">
        <f>IF(OR(L276="",R276="",J276=""),"",SQRT(4+(L276^2-4)*(R276/J276)^2))</f>
        <v/>
      </c>
      <c r="U276" s="7" t="n"/>
      <c r="V276" s="7" t="n"/>
    </row>
    <row r="277">
      <c r="A277" s="7" t="inlineStr">
        <is>
          <t>B-1/2-0.5-i3</t>
        </is>
      </c>
      <c r="B277" s="7" t="inlineStr">
        <is>
          <t>1/2</t>
        </is>
      </c>
      <c r="C277" s="7" t="inlineStr">
        <is>
          <t>B</t>
        </is>
      </c>
      <c r="D277" s="7" t="inlineStr">
        <is>
          <t>B (.815)</t>
        </is>
      </c>
      <c r="E277" s="7" t="n">
        <v>0.5</v>
      </c>
      <c r="F277" s="7" t="n">
        <v>3</v>
      </c>
      <c r="G277" s="8" t="n"/>
      <c r="H277" s="27" t="n"/>
      <c r="I277" s="27" t="n"/>
      <c r="J277" s="8" t="n"/>
      <c r="K277" s="8" t="n"/>
      <c r="L277" s="10" t="n"/>
      <c r="M277" s="8" t="n"/>
      <c r="N277" s="11">
        <f>IF(OR(J277="",H277="",I277=""),"",J277/((I277-H277)*1440))</f>
        <v/>
      </c>
      <c r="O277" s="7" t="n"/>
      <c r="P277" s="7" t="n"/>
      <c r="Q277" s="7" t="n"/>
      <c r="R277" s="12" t="n"/>
      <c r="S277" s="13">
        <f>IF(OR(R277="",J277=""),"",R277/J277-1)</f>
        <v/>
      </c>
      <c r="T277" s="14">
        <f>IF(OR(L277="",R277="",J277=""),"",SQRT(4+(L277^2-4)*(R277/J277)^2))</f>
        <v/>
      </c>
      <c r="U277" s="7" t="n"/>
      <c r="V277" s="7" t="n"/>
    </row>
    <row r="278">
      <c r="A278" s="7" t="inlineStr">
        <is>
          <t>B-1/2-1-i1</t>
        </is>
      </c>
      <c r="B278" s="7" t="inlineStr">
        <is>
          <t>1/2</t>
        </is>
      </c>
      <c r="C278" s="7" t="inlineStr">
        <is>
          <t>B</t>
        </is>
      </c>
      <c r="D278" s="7" t="inlineStr">
        <is>
          <t>B (.815)</t>
        </is>
      </c>
      <c r="E278" s="7" t="n">
        <v>1</v>
      </c>
      <c r="F278" s="7" t="n">
        <v>1</v>
      </c>
      <c r="G278" s="8" t="n"/>
      <c r="H278" s="27" t="n"/>
      <c r="I278" s="27" t="n"/>
      <c r="J278" s="8" t="n"/>
      <c r="K278" s="8" t="n"/>
      <c r="L278" s="10" t="n"/>
      <c r="M278" s="8" t="n"/>
      <c r="N278" s="11">
        <f>IF(OR(J278="",H278="",I278=""),"",J278/((I278-H278)*1440))</f>
        <v/>
      </c>
      <c r="O278" s="7" t="n"/>
      <c r="P278" s="7" t="n"/>
      <c r="Q278" s="7" t="n"/>
      <c r="R278" s="12" t="n"/>
      <c r="S278" s="13">
        <f>IF(OR(R278="",J278=""),"",R278/J278-1)</f>
        <v/>
      </c>
      <c r="T278" s="14">
        <f>IF(OR(L278="",R278="",J278=""),"",SQRT(4+(L278^2-4)*(R278/J278)^2))</f>
        <v/>
      </c>
      <c r="U278" s="7" t="n"/>
      <c r="V278" s="7" t="n"/>
    </row>
    <row r="279">
      <c r="A279" s="7" t="inlineStr">
        <is>
          <t>B-1/2-1-i2</t>
        </is>
      </c>
      <c r="B279" s="7" t="inlineStr">
        <is>
          <t>1/2</t>
        </is>
      </c>
      <c r="C279" s="7" t="inlineStr">
        <is>
          <t>B</t>
        </is>
      </c>
      <c r="D279" s="7" t="inlineStr">
        <is>
          <t>B (.815)</t>
        </is>
      </c>
      <c r="E279" s="7" t="n">
        <v>1</v>
      </c>
      <c r="F279" s="7" t="n">
        <v>2</v>
      </c>
      <c r="G279" s="8" t="n"/>
      <c r="H279" s="27" t="n"/>
      <c r="I279" s="27" t="n"/>
      <c r="J279" s="8" t="n"/>
      <c r="K279" s="8" t="n"/>
      <c r="L279" s="10" t="n"/>
      <c r="M279" s="8" t="n"/>
      <c r="N279" s="11">
        <f>IF(OR(J279="",H279="",I279=""),"",J279/((I279-H279)*1440))</f>
        <v/>
      </c>
      <c r="O279" s="7" t="n"/>
      <c r="P279" s="7" t="n"/>
      <c r="Q279" s="7" t="n"/>
      <c r="R279" s="12" t="n"/>
      <c r="S279" s="13">
        <f>IF(OR(R279="",J279=""),"",R279/J279-1)</f>
        <v/>
      </c>
      <c r="T279" s="14">
        <f>IF(OR(L279="",R279="",J279=""),"",SQRT(4+(L279^2-4)*(R279/J279)^2))</f>
        <v/>
      </c>
      <c r="U279" s="7" t="n"/>
      <c r="V279" s="7" t="n"/>
    </row>
    <row r="280">
      <c r="A280" s="7" t="inlineStr">
        <is>
          <t>B-1/2-1-i3</t>
        </is>
      </c>
      <c r="B280" s="7" t="inlineStr">
        <is>
          <t>1/2</t>
        </is>
      </c>
      <c r="C280" s="7" t="inlineStr">
        <is>
          <t>B</t>
        </is>
      </c>
      <c r="D280" s="7" t="inlineStr">
        <is>
          <t>B (.815)</t>
        </is>
      </c>
      <c r="E280" s="7" t="n">
        <v>1</v>
      </c>
      <c r="F280" s="7" t="n">
        <v>3</v>
      </c>
      <c r="G280" s="8" t="n"/>
      <c r="H280" s="27" t="n"/>
      <c r="I280" s="27" t="n"/>
      <c r="J280" s="8" t="n"/>
      <c r="K280" s="8" t="n"/>
      <c r="L280" s="10" t="n"/>
      <c r="M280" s="8" t="n"/>
      <c r="N280" s="11">
        <f>IF(OR(J280="",H280="",I280=""),"",J280/((I280-H280)*1440))</f>
        <v/>
      </c>
      <c r="O280" s="7" t="n"/>
      <c r="P280" s="7" t="n"/>
      <c r="Q280" s="7" t="n"/>
      <c r="R280" s="12" t="n"/>
      <c r="S280" s="13">
        <f>IF(OR(R280="",J280=""),"",R280/J280-1)</f>
        <v/>
      </c>
      <c r="T280" s="14">
        <f>IF(OR(L280="",R280="",J280=""),"",SQRT(4+(L280^2-4)*(R280/J280)^2))</f>
        <v/>
      </c>
      <c r="U280" s="7" t="n"/>
      <c r="V280" s="7" t="n"/>
    </row>
    <row r="281">
      <c r="A281" s="7" t="inlineStr">
        <is>
          <t>B-1/2-3-i1</t>
        </is>
      </c>
      <c r="B281" s="7" t="inlineStr">
        <is>
          <t>1/2</t>
        </is>
      </c>
      <c r="C281" s="7" t="inlineStr">
        <is>
          <t>B</t>
        </is>
      </c>
      <c r="D281" s="7" t="inlineStr">
        <is>
          <t>B (.815)</t>
        </is>
      </c>
      <c r="E281" s="7" t="n">
        <v>3</v>
      </c>
      <c r="F281" s="7" t="n">
        <v>1</v>
      </c>
      <c r="G281" s="8" t="n"/>
      <c r="H281" s="27" t="n"/>
      <c r="I281" s="27" t="n"/>
      <c r="J281" s="8" t="n"/>
      <c r="K281" s="8" t="n"/>
      <c r="L281" s="10" t="n"/>
      <c r="M281" s="8" t="n"/>
      <c r="N281" s="11">
        <f>IF(OR(J281="",H281="",I281=""),"",J281/((I281-H281)*1440))</f>
        <v/>
      </c>
      <c r="O281" s="7" t="n"/>
      <c r="P281" s="7" t="n"/>
      <c r="Q281" s="7" t="n"/>
      <c r="R281" s="12" t="n"/>
      <c r="S281" s="13">
        <f>IF(OR(R281="",J281=""),"",R281/J281-1)</f>
        <v/>
      </c>
      <c r="T281" s="14">
        <f>IF(OR(L281="",R281="",J281=""),"",SQRT(4+(L281^2-4)*(R281/J281)^2))</f>
        <v/>
      </c>
      <c r="U281" s="7" t="n"/>
      <c r="V281" s="7" t="n"/>
    </row>
    <row r="282">
      <c r="A282" s="7" t="inlineStr">
        <is>
          <t>B-1/2-3-i2</t>
        </is>
      </c>
      <c r="B282" s="7" t="inlineStr">
        <is>
          <t>1/2</t>
        </is>
      </c>
      <c r="C282" s="7" t="inlineStr">
        <is>
          <t>B</t>
        </is>
      </c>
      <c r="D282" s="7" t="inlineStr">
        <is>
          <t>B (.815)</t>
        </is>
      </c>
      <c r="E282" s="7" t="n">
        <v>3</v>
      </c>
      <c r="F282" s="7" t="n">
        <v>2</v>
      </c>
      <c r="G282" s="8" t="n"/>
      <c r="H282" s="27" t="n"/>
      <c r="I282" s="27" t="n"/>
      <c r="J282" s="8" t="n"/>
      <c r="K282" s="8" t="n"/>
      <c r="L282" s="10" t="n"/>
      <c r="M282" s="8" t="n"/>
      <c r="N282" s="11">
        <f>IF(OR(J282="",H282="",I282=""),"",J282/((I282-H282)*1440))</f>
        <v/>
      </c>
      <c r="O282" s="7" t="n"/>
      <c r="P282" s="7" t="n"/>
      <c r="Q282" s="7" t="n"/>
      <c r="R282" s="12" t="n"/>
      <c r="S282" s="13">
        <f>IF(OR(R282="",J282=""),"",R282/J282-1)</f>
        <v/>
      </c>
      <c r="T282" s="14">
        <f>IF(OR(L282="",R282="",J282=""),"",SQRT(4+(L282^2-4)*(R282/J282)^2))</f>
        <v/>
      </c>
      <c r="U282" s="7" t="n"/>
      <c r="V282" s="7" t="n"/>
    </row>
    <row r="283">
      <c r="A283" s="7" t="inlineStr">
        <is>
          <t>B-1/2-3-i3</t>
        </is>
      </c>
      <c r="B283" s="7" t="inlineStr">
        <is>
          <t>1/2</t>
        </is>
      </c>
      <c r="C283" s="7" t="inlineStr">
        <is>
          <t>B</t>
        </is>
      </c>
      <c r="D283" s="7" t="inlineStr">
        <is>
          <t>B (.815)</t>
        </is>
      </c>
      <c r="E283" s="7" t="n">
        <v>3</v>
      </c>
      <c r="F283" s="7" t="n">
        <v>3</v>
      </c>
      <c r="G283" s="8" t="n"/>
      <c r="H283" s="27" t="n"/>
      <c r="I283" s="27" t="n"/>
      <c r="J283" s="8" t="n"/>
      <c r="K283" s="8" t="n"/>
      <c r="L283" s="10" t="n"/>
      <c r="M283" s="8" t="n"/>
      <c r="N283" s="11">
        <f>IF(OR(J283="",H283="",I283=""),"",J283/((I283-H283)*1440))</f>
        <v/>
      </c>
      <c r="O283" s="7" t="n"/>
      <c r="P283" s="7" t="n"/>
      <c r="Q283" s="7" t="n"/>
      <c r="R283" s="12" t="n"/>
      <c r="S283" s="13">
        <f>IF(OR(R283="",J283=""),"",R283/J283-1)</f>
        <v/>
      </c>
      <c r="T283" s="14">
        <f>IF(OR(L283="",R283="",J283=""),"",SQRT(4+(L283^2-4)*(R283/J283)^2))</f>
        <v/>
      </c>
      <c r="U283" s="7" t="n"/>
      <c r="V283" s="7" t="n"/>
    </row>
    <row r="284">
      <c r="A284" s="7" t="inlineStr">
        <is>
          <t>B-1/2-5-i1</t>
        </is>
      </c>
      <c r="B284" s="7" t="inlineStr">
        <is>
          <t>1/2</t>
        </is>
      </c>
      <c r="C284" s="7" t="inlineStr">
        <is>
          <t>B</t>
        </is>
      </c>
      <c r="D284" s="7" t="inlineStr">
        <is>
          <t>B (.815)</t>
        </is>
      </c>
      <c r="E284" s="7" t="n">
        <v>5</v>
      </c>
      <c r="F284" s="7" t="n">
        <v>1</v>
      </c>
      <c r="G284" s="8" t="n"/>
      <c r="H284" s="27" t="n"/>
      <c r="I284" s="27" t="n"/>
      <c r="J284" s="8" t="n"/>
      <c r="K284" s="8" t="n"/>
      <c r="L284" s="10" t="n"/>
      <c r="M284" s="8" t="n"/>
      <c r="N284" s="11">
        <f>IF(OR(J284="",H284="",I284=""),"",J284/((I284-H284)*1440))</f>
        <v/>
      </c>
      <c r="O284" s="7" t="n"/>
      <c r="P284" s="7" t="n"/>
      <c r="Q284" s="7" t="n"/>
      <c r="R284" s="12" t="n"/>
      <c r="S284" s="13">
        <f>IF(OR(R284="",J284=""),"",R284/J284-1)</f>
        <v/>
      </c>
      <c r="T284" s="14">
        <f>IF(OR(L284="",R284="",J284=""),"",SQRT(4+(L284^2-4)*(R284/J284)^2))</f>
        <v/>
      </c>
      <c r="U284" s="7" t="n"/>
      <c r="V284" s="7" t="n"/>
    </row>
    <row r="285">
      <c r="A285" s="7" t="inlineStr">
        <is>
          <t>B-1/2-5-i2</t>
        </is>
      </c>
      <c r="B285" s="7" t="inlineStr">
        <is>
          <t>1/2</t>
        </is>
      </c>
      <c r="C285" s="7" t="inlineStr">
        <is>
          <t>B</t>
        </is>
      </c>
      <c r="D285" s="7" t="inlineStr">
        <is>
          <t>B (.815)</t>
        </is>
      </c>
      <c r="E285" s="7" t="n">
        <v>5</v>
      </c>
      <c r="F285" s="7" t="n">
        <v>2</v>
      </c>
      <c r="G285" s="8" t="n"/>
      <c r="H285" s="27" t="n"/>
      <c r="I285" s="27" t="n"/>
      <c r="J285" s="8" t="n"/>
      <c r="K285" s="8" t="n"/>
      <c r="L285" s="10" t="n"/>
      <c r="M285" s="8" t="n"/>
      <c r="N285" s="11">
        <f>IF(OR(J285="",H285="",I285=""),"",J285/((I285-H285)*1440))</f>
        <v/>
      </c>
      <c r="O285" s="7" t="n"/>
      <c r="P285" s="7" t="n"/>
      <c r="Q285" s="7" t="n"/>
      <c r="R285" s="12" t="n"/>
      <c r="S285" s="13">
        <f>IF(OR(R285="",J285=""),"",R285/J285-1)</f>
        <v/>
      </c>
      <c r="T285" s="14">
        <f>IF(OR(L285="",R285="",J285=""),"",SQRT(4+(L285^2-4)*(R285/J285)^2))</f>
        <v/>
      </c>
      <c r="U285" s="7" t="n"/>
      <c r="V285" s="7" t="n"/>
    </row>
    <row r="286">
      <c r="A286" s="7" t="inlineStr">
        <is>
          <t>B-1/2-5-i3</t>
        </is>
      </c>
      <c r="B286" s="7" t="inlineStr">
        <is>
          <t>1/2</t>
        </is>
      </c>
      <c r="C286" s="7" t="inlineStr">
        <is>
          <t>B</t>
        </is>
      </c>
      <c r="D286" s="7" t="inlineStr">
        <is>
          <t>B (.815)</t>
        </is>
      </c>
      <c r="E286" s="7" t="n">
        <v>5</v>
      </c>
      <c r="F286" s="7" t="n">
        <v>3</v>
      </c>
      <c r="G286" s="8" t="n"/>
      <c r="H286" s="27" t="n"/>
      <c r="I286" s="27" t="n"/>
      <c r="J286" s="8" t="n"/>
      <c r="K286" s="8" t="n"/>
      <c r="L286" s="10" t="n"/>
      <c r="M286" s="8" t="n"/>
      <c r="N286" s="11">
        <f>IF(OR(J286="",H286="",I286=""),"",J286/((I286-H286)*1440))</f>
        <v/>
      </c>
      <c r="O286" s="7" t="n"/>
      <c r="P286" s="7" t="n"/>
      <c r="Q286" s="7" t="n"/>
      <c r="R286" s="12" t="n"/>
      <c r="S286" s="13">
        <f>IF(OR(R286="",J286=""),"",R286/J286-1)</f>
        <v/>
      </c>
      <c r="T286" s="14">
        <f>IF(OR(L286="",R286="",J286=""),"",SQRT(4+(L286^2-4)*(R286/J286)^2))</f>
        <v/>
      </c>
      <c r="U286" s="7" t="n"/>
      <c r="V286" s="7" t="n"/>
    </row>
    <row r="287">
      <c r="A287" s="7" t="inlineStr">
        <is>
          <t>B-1/2-10-i1</t>
        </is>
      </c>
      <c r="B287" s="7" t="inlineStr">
        <is>
          <t>1/2</t>
        </is>
      </c>
      <c r="C287" s="7" t="inlineStr">
        <is>
          <t>B</t>
        </is>
      </c>
      <c r="D287" s="7" t="inlineStr">
        <is>
          <t>B (.815)</t>
        </is>
      </c>
      <c r="E287" s="7" t="n">
        <v>10</v>
      </c>
      <c r="F287" s="7" t="n">
        <v>1</v>
      </c>
      <c r="G287" s="8" t="n"/>
      <c r="H287" s="27" t="n"/>
      <c r="I287" s="27" t="n"/>
      <c r="J287" s="8" t="n"/>
      <c r="K287" s="8" t="n"/>
      <c r="L287" s="10" t="n"/>
      <c r="M287" s="8" t="n"/>
      <c r="N287" s="11">
        <f>IF(OR(J287="",H287="",I287=""),"",J287/((I287-H287)*1440))</f>
        <v/>
      </c>
      <c r="O287" s="7" t="n"/>
      <c r="P287" s="7" t="n"/>
      <c r="Q287" s="7" t="n"/>
      <c r="R287" s="12" t="n"/>
      <c r="S287" s="13">
        <f>IF(OR(R287="",J287=""),"",R287/J287-1)</f>
        <v/>
      </c>
      <c r="T287" s="14">
        <f>IF(OR(L287="",R287="",J287=""),"",SQRT(4+(L287^2-4)*(R287/J287)^2))</f>
        <v/>
      </c>
      <c r="U287" s="7" t="n"/>
      <c r="V287" s="7" t="n"/>
    </row>
    <row r="288">
      <c r="A288" s="7" t="inlineStr">
        <is>
          <t>B-1/2-10-i2</t>
        </is>
      </c>
      <c r="B288" s="7" t="inlineStr">
        <is>
          <t>1/2</t>
        </is>
      </c>
      <c r="C288" s="7" t="inlineStr">
        <is>
          <t>B</t>
        </is>
      </c>
      <c r="D288" s="7" t="inlineStr">
        <is>
          <t>B (.815)</t>
        </is>
      </c>
      <c r="E288" s="7" t="n">
        <v>10</v>
      </c>
      <c r="F288" s="7" t="n">
        <v>2</v>
      </c>
      <c r="G288" s="8" t="n"/>
      <c r="H288" s="27" t="n"/>
      <c r="I288" s="27" t="n"/>
      <c r="J288" s="8" t="n"/>
      <c r="K288" s="8" t="n"/>
      <c r="L288" s="10" t="n"/>
      <c r="M288" s="8" t="n"/>
      <c r="N288" s="11">
        <f>IF(OR(J288="",H288="",I288=""),"",J288/((I288-H288)*1440))</f>
        <v/>
      </c>
      <c r="O288" s="7" t="n"/>
      <c r="P288" s="7" t="n"/>
      <c r="Q288" s="7" t="n"/>
      <c r="R288" s="12" t="n"/>
      <c r="S288" s="13">
        <f>IF(OR(R288="",J288=""),"",R288/J288-1)</f>
        <v/>
      </c>
      <c r="T288" s="14">
        <f>IF(OR(L288="",R288="",J288=""),"",SQRT(4+(L288^2-4)*(R288/J288)^2))</f>
        <v/>
      </c>
      <c r="U288" s="7" t="n"/>
      <c r="V288" s="7" t="n"/>
    </row>
    <row r="289">
      <c r="A289" s="7" t="inlineStr">
        <is>
          <t>B-1/2-10-i3</t>
        </is>
      </c>
      <c r="B289" s="7" t="inlineStr">
        <is>
          <t>1/2</t>
        </is>
      </c>
      <c r="C289" s="7" t="inlineStr">
        <is>
          <t>B</t>
        </is>
      </c>
      <c r="D289" s="7" t="inlineStr">
        <is>
          <t>B (.815)</t>
        </is>
      </c>
      <c r="E289" s="7" t="n">
        <v>10</v>
      </c>
      <c r="F289" s="7" t="n">
        <v>3</v>
      </c>
      <c r="G289" s="8" t="n"/>
      <c r="H289" s="27" t="n"/>
      <c r="I289" s="27" t="n"/>
      <c r="J289" s="8" t="n"/>
      <c r="K289" s="8" t="n"/>
      <c r="L289" s="10" t="n"/>
      <c r="M289" s="8" t="n"/>
      <c r="N289" s="11">
        <f>IF(OR(J289="",H289="",I289=""),"",J289/((I289-H289)*1440))</f>
        <v/>
      </c>
      <c r="O289" s="7" t="n"/>
      <c r="P289" s="7" t="n"/>
      <c r="Q289" s="7" t="n"/>
      <c r="R289" s="12" t="n"/>
      <c r="S289" s="13">
        <f>IF(OR(R289="",J289=""),"",R289/J289-1)</f>
        <v/>
      </c>
      <c r="T289" s="14">
        <f>IF(OR(L289="",R289="",J289=""),"",SQRT(4+(L289^2-4)*(R289/J289)^2))</f>
        <v/>
      </c>
      <c r="U289" s="7" t="n"/>
      <c r="V289" s="7" t="n"/>
    </row>
    <row r="290">
      <c r="A290" s="7" t="inlineStr">
        <is>
          <t>b-1/2-0.5-i1</t>
        </is>
      </c>
      <c r="B290" s="7" t="inlineStr">
        <is>
          <t>1/2</t>
        </is>
      </c>
      <c r="C290" s="7" t="inlineStr">
        <is>
          <t>b</t>
        </is>
      </c>
      <c r="D290" s="7" t="inlineStr">
        <is>
          <t>b (.825)</t>
        </is>
      </c>
      <c r="E290" s="7" t="n">
        <v>0.5</v>
      </c>
      <c r="F290" s="7" t="n">
        <v>1</v>
      </c>
      <c r="G290" s="8" t="n"/>
      <c r="H290" s="27" t="n"/>
      <c r="I290" s="27" t="n"/>
      <c r="J290" s="8" t="n"/>
      <c r="K290" s="8" t="n"/>
      <c r="L290" s="10" t="n"/>
      <c r="M290" s="8" t="n"/>
      <c r="N290" s="11">
        <f>IF(OR(J290="",H290="",I290=""),"",J290/((I290-H290)*1440))</f>
        <v/>
      </c>
      <c r="O290" s="7" t="n"/>
      <c r="P290" s="7" t="n"/>
      <c r="Q290" s="7" t="n"/>
      <c r="R290" s="12" t="n"/>
      <c r="S290" s="13">
        <f>IF(OR(R290="",J290=""),"",R290/J290-1)</f>
        <v/>
      </c>
      <c r="T290" s="14">
        <f>IF(OR(L290="",R290="",J290=""),"",SQRT(4+(L290^2-4)*(R290/J290)^2))</f>
        <v/>
      </c>
      <c r="U290" s="7" t="n"/>
      <c r="V290" s="7" t="n"/>
    </row>
    <row r="291">
      <c r="A291" s="7" t="inlineStr">
        <is>
          <t>b-1/2-0.5-i2</t>
        </is>
      </c>
      <c r="B291" s="7" t="inlineStr">
        <is>
          <t>1/2</t>
        </is>
      </c>
      <c r="C291" s="7" t="inlineStr">
        <is>
          <t>b</t>
        </is>
      </c>
      <c r="D291" s="7" t="inlineStr">
        <is>
          <t>b (.825)</t>
        </is>
      </c>
      <c r="E291" s="7" t="n">
        <v>0.5</v>
      </c>
      <c r="F291" s="7" t="n">
        <v>2</v>
      </c>
      <c r="G291" s="8" t="n"/>
      <c r="H291" s="27" t="n"/>
      <c r="I291" s="27" t="n"/>
      <c r="J291" s="8" t="n"/>
      <c r="K291" s="8" t="n"/>
      <c r="L291" s="10" t="n"/>
      <c r="M291" s="8" t="n"/>
      <c r="N291" s="11">
        <f>IF(OR(J291="",H291="",I291=""),"",J291/((I291-H291)*1440))</f>
        <v/>
      </c>
      <c r="O291" s="7" t="n"/>
      <c r="P291" s="7" t="n"/>
      <c r="Q291" s="7" t="n"/>
      <c r="R291" s="12" t="n"/>
      <c r="S291" s="13">
        <f>IF(OR(R291="",J291=""),"",R291/J291-1)</f>
        <v/>
      </c>
      <c r="T291" s="14">
        <f>IF(OR(L291="",R291="",J291=""),"",SQRT(4+(L291^2-4)*(R291/J291)^2))</f>
        <v/>
      </c>
      <c r="U291" s="7" t="n"/>
      <c r="V291" s="7" t="n"/>
    </row>
    <row r="292">
      <c r="A292" s="7" t="inlineStr">
        <is>
          <t>b-1/2-0.5-i3</t>
        </is>
      </c>
      <c r="B292" s="7" t="inlineStr">
        <is>
          <t>1/2</t>
        </is>
      </c>
      <c r="C292" s="7" t="inlineStr">
        <is>
          <t>b</t>
        </is>
      </c>
      <c r="D292" s="7" t="inlineStr">
        <is>
          <t>b (.825)</t>
        </is>
      </c>
      <c r="E292" s="7" t="n">
        <v>0.5</v>
      </c>
      <c r="F292" s="7" t="n">
        <v>3</v>
      </c>
      <c r="G292" s="8" t="n"/>
      <c r="H292" s="27" t="n"/>
      <c r="I292" s="27" t="n"/>
      <c r="J292" s="8" t="n"/>
      <c r="K292" s="8" t="n"/>
      <c r="L292" s="10" t="n"/>
      <c r="M292" s="8" t="n"/>
      <c r="N292" s="11">
        <f>IF(OR(J292="",H292="",I292=""),"",J292/((I292-H292)*1440))</f>
        <v/>
      </c>
      <c r="O292" s="7" t="n"/>
      <c r="P292" s="7" t="n"/>
      <c r="Q292" s="7" t="n"/>
      <c r="R292" s="12" t="n"/>
      <c r="S292" s="13">
        <f>IF(OR(R292="",J292=""),"",R292/J292-1)</f>
        <v/>
      </c>
      <c r="T292" s="14">
        <f>IF(OR(L292="",R292="",J292=""),"",SQRT(4+(L292^2-4)*(R292/J292)^2))</f>
        <v/>
      </c>
      <c r="U292" s="7" t="n"/>
      <c r="V292" s="7" t="n"/>
    </row>
    <row r="293">
      <c r="A293" s="7" t="inlineStr">
        <is>
          <t>b-1/2-1-i1</t>
        </is>
      </c>
      <c r="B293" s="7" t="inlineStr">
        <is>
          <t>1/2</t>
        </is>
      </c>
      <c r="C293" s="7" t="inlineStr">
        <is>
          <t>b</t>
        </is>
      </c>
      <c r="D293" s="7" t="inlineStr">
        <is>
          <t>b (.825)</t>
        </is>
      </c>
      <c r="E293" s="7" t="n">
        <v>1</v>
      </c>
      <c r="F293" s="7" t="n">
        <v>1</v>
      </c>
      <c r="G293" s="8" t="n"/>
      <c r="H293" s="27" t="n"/>
      <c r="I293" s="27" t="n"/>
      <c r="J293" s="8" t="n"/>
      <c r="K293" s="8" t="n"/>
      <c r="L293" s="10" t="n"/>
      <c r="M293" s="8" t="n"/>
      <c r="N293" s="11">
        <f>IF(OR(J293="",H293="",I293=""),"",J293/((I293-H293)*1440))</f>
        <v/>
      </c>
      <c r="O293" s="7" t="n"/>
      <c r="P293" s="7" t="n"/>
      <c r="Q293" s="7" t="n"/>
      <c r="R293" s="12" t="n"/>
      <c r="S293" s="13">
        <f>IF(OR(R293="",J293=""),"",R293/J293-1)</f>
        <v/>
      </c>
      <c r="T293" s="14">
        <f>IF(OR(L293="",R293="",J293=""),"",SQRT(4+(L293^2-4)*(R293/J293)^2))</f>
        <v/>
      </c>
      <c r="U293" s="7" t="n"/>
      <c r="V293" s="7" t="n"/>
    </row>
    <row r="294">
      <c r="A294" s="7" t="inlineStr">
        <is>
          <t>b-1/2-1-i2</t>
        </is>
      </c>
      <c r="B294" s="7" t="inlineStr">
        <is>
          <t>1/2</t>
        </is>
      </c>
      <c r="C294" s="7" t="inlineStr">
        <is>
          <t>b</t>
        </is>
      </c>
      <c r="D294" s="7" t="inlineStr">
        <is>
          <t>b (.825)</t>
        </is>
      </c>
      <c r="E294" s="7" t="n">
        <v>1</v>
      </c>
      <c r="F294" s="7" t="n">
        <v>2</v>
      </c>
      <c r="G294" s="8" t="n"/>
      <c r="H294" s="27" t="n"/>
      <c r="I294" s="27" t="n"/>
      <c r="J294" s="8" t="n"/>
      <c r="K294" s="8" t="n"/>
      <c r="L294" s="10" t="n"/>
      <c r="M294" s="8" t="n"/>
      <c r="N294" s="11">
        <f>IF(OR(J294="",H294="",I294=""),"",J294/((I294-H294)*1440))</f>
        <v/>
      </c>
      <c r="O294" s="7" t="n"/>
      <c r="P294" s="7" t="n"/>
      <c r="Q294" s="7" t="n"/>
      <c r="R294" s="12" t="n"/>
      <c r="S294" s="13">
        <f>IF(OR(R294="",J294=""),"",R294/J294-1)</f>
        <v/>
      </c>
      <c r="T294" s="14">
        <f>IF(OR(L294="",R294="",J294=""),"",SQRT(4+(L294^2-4)*(R294/J294)^2))</f>
        <v/>
      </c>
      <c r="U294" s="7" t="n"/>
      <c r="V294" s="7" t="n"/>
    </row>
    <row r="295">
      <c r="A295" s="7" t="inlineStr">
        <is>
          <t>b-1/2-1-i3</t>
        </is>
      </c>
      <c r="B295" s="7" t="inlineStr">
        <is>
          <t>1/2</t>
        </is>
      </c>
      <c r="C295" s="7" t="inlineStr">
        <is>
          <t>b</t>
        </is>
      </c>
      <c r="D295" s="7" t="inlineStr">
        <is>
          <t>b (.825)</t>
        </is>
      </c>
      <c r="E295" s="7" t="n">
        <v>1</v>
      </c>
      <c r="F295" s="7" t="n">
        <v>3</v>
      </c>
      <c r="G295" s="8" t="n"/>
      <c r="H295" s="27" t="n"/>
      <c r="I295" s="27" t="n"/>
      <c r="J295" s="8" t="n"/>
      <c r="K295" s="8" t="n"/>
      <c r="L295" s="10" t="n"/>
      <c r="M295" s="8" t="n"/>
      <c r="N295" s="11">
        <f>IF(OR(J295="",H295="",I295=""),"",J295/((I295-H295)*1440))</f>
        <v/>
      </c>
      <c r="O295" s="7" t="n"/>
      <c r="P295" s="7" t="n"/>
      <c r="Q295" s="7" t="n"/>
      <c r="R295" s="12" t="n"/>
      <c r="S295" s="13">
        <f>IF(OR(R295="",J295=""),"",R295/J295-1)</f>
        <v/>
      </c>
      <c r="T295" s="14">
        <f>IF(OR(L295="",R295="",J295=""),"",SQRT(4+(L295^2-4)*(R295/J295)^2))</f>
        <v/>
      </c>
      <c r="U295" s="7" t="n"/>
      <c r="V295" s="7" t="n"/>
    </row>
    <row r="296">
      <c r="A296" s="7" t="inlineStr">
        <is>
          <t>b-1/2-3-i1</t>
        </is>
      </c>
      <c r="B296" s="7" t="inlineStr">
        <is>
          <t>1/2</t>
        </is>
      </c>
      <c r="C296" s="7" t="inlineStr">
        <is>
          <t>b</t>
        </is>
      </c>
      <c r="D296" s="7" t="inlineStr">
        <is>
          <t>b (.825)</t>
        </is>
      </c>
      <c r="E296" s="7" t="n">
        <v>3</v>
      </c>
      <c r="F296" s="7" t="n">
        <v>1</v>
      </c>
      <c r="G296" s="8" t="n"/>
      <c r="H296" s="27" t="n"/>
      <c r="I296" s="27" t="n"/>
      <c r="J296" s="8" t="n"/>
      <c r="K296" s="8" t="n"/>
      <c r="L296" s="10" t="n"/>
      <c r="M296" s="8" t="n"/>
      <c r="N296" s="11">
        <f>IF(OR(J296="",H296="",I296=""),"",J296/((I296-H296)*1440))</f>
        <v/>
      </c>
      <c r="O296" s="7" t="n"/>
      <c r="P296" s="7" t="n"/>
      <c r="Q296" s="7" t="n"/>
      <c r="R296" s="12" t="n"/>
      <c r="S296" s="13">
        <f>IF(OR(R296="",J296=""),"",R296/J296-1)</f>
        <v/>
      </c>
      <c r="T296" s="14">
        <f>IF(OR(L296="",R296="",J296=""),"",SQRT(4+(L296^2-4)*(R296/J296)^2))</f>
        <v/>
      </c>
      <c r="U296" s="7" t="n"/>
      <c r="V296" s="7" t="n"/>
    </row>
    <row r="297">
      <c r="A297" s="7" t="inlineStr">
        <is>
          <t>b-1/2-3-i2</t>
        </is>
      </c>
      <c r="B297" s="7" t="inlineStr">
        <is>
          <t>1/2</t>
        </is>
      </c>
      <c r="C297" s="7" t="inlineStr">
        <is>
          <t>b</t>
        </is>
      </c>
      <c r="D297" s="7" t="inlineStr">
        <is>
          <t>b (.825)</t>
        </is>
      </c>
      <c r="E297" s="7" t="n">
        <v>3</v>
      </c>
      <c r="F297" s="7" t="n">
        <v>2</v>
      </c>
      <c r="G297" s="8" t="n"/>
      <c r="H297" s="27" t="n"/>
      <c r="I297" s="27" t="n"/>
      <c r="J297" s="8" t="n"/>
      <c r="K297" s="8" t="n"/>
      <c r="L297" s="10" t="n"/>
      <c r="M297" s="8" t="n"/>
      <c r="N297" s="11">
        <f>IF(OR(J297="",H297="",I297=""),"",J297/((I297-H297)*1440))</f>
        <v/>
      </c>
      <c r="O297" s="7" t="n"/>
      <c r="P297" s="7" t="n"/>
      <c r="Q297" s="7" t="n"/>
      <c r="R297" s="12" t="n"/>
      <c r="S297" s="13">
        <f>IF(OR(R297="",J297=""),"",R297/J297-1)</f>
        <v/>
      </c>
      <c r="T297" s="14">
        <f>IF(OR(L297="",R297="",J297=""),"",SQRT(4+(L297^2-4)*(R297/J297)^2))</f>
        <v/>
      </c>
      <c r="U297" s="7" t="n"/>
      <c r="V297" s="7" t="n"/>
    </row>
    <row r="298">
      <c r="A298" s="7" t="inlineStr">
        <is>
          <t>b-1/2-3-i3</t>
        </is>
      </c>
      <c r="B298" s="7" t="inlineStr">
        <is>
          <t>1/2</t>
        </is>
      </c>
      <c r="C298" s="7" t="inlineStr">
        <is>
          <t>b</t>
        </is>
      </c>
      <c r="D298" s="7" t="inlineStr">
        <is>
          <t>b (.825)</t>
        </is>
      </c>
      <c r="E298" s="7" t="n">
        <v>3</v>
      </c>
      <c r="F298" s="7" t="n">
        <v>3</v>
      </c>
      <c r="G298" s="8" t="n"/>
      <c r="H298" s="27" t="n"/>
      <c r="I298" s="27" t="n"/>
      <c r="J298" s="8" t="n"/>
      <c r="K298" s="8" t="n"/>
      <c r="L298" s="10" t="n"/>
      <c r="M298" s="8" t="n"/>
      <c r="N298" s="11">
        <f>IF(OR(J298="",H298="",I298=""),"",J298/((I298-H298)*1440))</f>
        <v/>
      </c>
      <c r="O298" s="7" t="n"/>
      <c r="P298" s="7" t="n"/>
      <c r="Q298" s="7" t="n"/>
      <c r="R298" s="12" t="n"/>
      <c r="S298" s="13">
        <f>IF(OR(R298="",J298=""),"",R298/J298-1)</f>
        <v/>
      </c>
      <c r="T298" s="14">
        <f>IF(OR(L298="",R298="",J298=""),"",SQRT(4+(L298^2-4)*(R298/J298)^2))</f>
        <v/>
      </c>
      <c r="U298" s="7" t="n"/>
      <c r="V298" s="7" t="n"/>
    </row>
    <row r="299">
      <c r="A299" s="7" t="inlineStr">
        <is>
          <t>b-1/2-5-i1</t>
        </is>
      </c>
      <c r="B299" s="7" t="inlineStr">
        <is>
          <t>1/2</t>
        </is>
      </c>
      <c r="C299" s="7" t="inlineStr">
        <is>
          <t>b</t>
        </is>
      </c>
      <c r="D299" s="7" t="inlineStr">
        <is>
          <t>b (.825)</t>
        </is>
      </c>
      <c r="E299" s="7" t="n">
        <v>5</v>
      </c>
      <c r="F299" s="7" t="n">
        <v>1</v>
      </c>
      <c r="G299" s="8" t="n"/>
      <c r="H299" s="27" t="n"/>
      <c r="I299" s="27" t="n"/>
      <c r="J299" s="8" t="n"/>
      <c r="K299" s="8" t="n"/>
      <c r="L299" s="10" t="n"/>
      <c r="M299" s="8" t="n"/>
      <c r="N299" s="11">
        <f>IF(OR(J299="",H299="",I299=""),"",J299/((I299-H299)*1440))</f>
        <v/>
      </c>
      <c r="O299" s="7" t="n"/>
      <c r="P299" s="7" t="n"/>
      <c r="Q299" s="7" t="n"/>
      <c r="R299" s="12" t="n"/>
      <c r="S299" s="13">
        <f>IF(OR(R299="",J299=""),"",R299/J299-1)</f>
        <v/>
      </c>
      <c r="T299" s="14">
        <f>IF(OR(L299="",R299="",J299=""),"",SQRT(4+(L299^2-4)*(R299/J299)^2))</f>
        <v/>
      </c>
      <c r="U299" s="7" t="n"/>
      <c r="V299" s="7" t="n"/>
    </row>
    <row r="300">
      <c r="A300" s="7" t="inlineStr">
        <is>
          <t>b-1/2-5-i2</t>
        </is>
      </c>
      <c r="B300" s="7" t="inlineStr">
        <is>
          <t>1/2</t>
        </is>
      </c>
      <c r="C300" s="7" t="inlineStr">
        <is>
          <t>b</t>
        </is>
      </c>
      <c r="D300" s="7" t="inlineStr">
        <is>
          <t>b (.825)</t>
        </is>
      </c>
      <c r="E300" s="7" t="n">
        <v>5</v>
      </c>
      <c r="F300" s="7" t="n">
        <v>2</v>
      </c>
      <c r="G300" s="8" t="n"/>
      <c r="H300" s="27" t="n"/>
      <c r="I300" s="27" t="n"/>
      <c r="J300" s="8" t="n"/>
      <c r="K300" s="8" t="n"/>
      <c r="L300" s="10" t="n"/>
      <c r="M300" s="8" t="n"/>
      <c r="N300" s="11">
        <f>IF(OR(J300="",H300="",I300=""),"",J300/((I300-H300)*1440))</f>
        <v/>
      </c>
      <c r="O300" s="7" t="n"/>
      <c r="P300" s="7" t="n"/>
      <c r="Q300" s="7" t="n"/>
      <c r="R300" s="12" t="n"/>
      <c r="S300" s="13">
        <f>IF(OR(R300="",J300=""),"",R300/J300-1)</f>
        <v/>
      </c>
      <c r="T300" s="14">
        <f>IF(OR(L300="",R300="",J300=""),"",SQRT(4+(L300^2-4)*(R300/J300)^2))</f>
        <v/>
      </c>
      <c r="U300" s="7" t="n"/>
      <c r="V300" s="7" t="n"/>
    </row>
    <row r="301">
      <c r="A301" s="7" t="inlineStr">
        <is>
          <t>b-1/2-5-i3</t>
        </is>
      </c>
      <c r="B301" s="7" t="inlineStr">
        <is>
          <t>1/2</t>
        </is>
      </c>
      <c r="C301" s="7" t="inlineStr">
        <is>
          <t>b</t>
        </is>
      </c>
      <c r="D301" s="7" t="inlineStr">
        <is>
          <t>b (.825)</t>
        </is>
      </c>
      <c r="E301" s="7" t="n">
        <v>5</v>
      </c>
      <c r="F301" s="7" t="n">
        <v>3</v>
      </c>
      <c r="G301" s="8" t="n"/>
      <c r="H301" s="27" t="n"/>
      <c r="I301" s="27" t="n"/>
      <c r="J301" s="8" t="n"/>
      <c r="K301" s="8" t="n"/>
      <c r="L301" s="10" t="n"/>
      <c r="M301" s="8" t="n"/>
      <c r="N301" s="11">
        <f>IF(OR(J301="",H301="",I301=""),"",J301/((I301-H301)*1440))</f>
        <v/>
      </c>
      <c r="O301" s="7" t="n"/>
      <c r="P301" s="7" t="n"/>
      <c r="Q301" s="7" t="n"/>
      <c r="R301" s="12" t="n"/>
      <c r="S301" s="13">
        <f>IF(OR(R301="",J301=""),"",R301/J301-1)</f>
        <v/>
      </c>
      <c r="T301" s="14">
        <f>IF(OR(L301="",R301="",J301=""),"",SQRT(4+(L301^2-4)*(R301/J301)^2))</f>
        <v/>
      </c>
      <c r="U301" s="7" t="n"/>
      <c r="V301" s="7" t="n"/>
    </row>
    <row r="302">
      <c r="A302" s="7" t="inlineStr">
        <is>
          <t>b-1/2-10-i1</t>
        </is>
      </c>
      <c r="B302" s="7" t="inlineStr">
        <is>
          <t>1/2</t>
        </is>
      </c>
      <c r="C302" s="7" t="inlineStr">
        <is>
          <t>b</t>
        </is>
      </c>
      <c r="D302" s="7" t="inlineStr">
        <is>
          <t>b (.825)</t>
        </is>
      </c>
      <c r="E302" s="7" t="n">
        <v>10</v>
      </c>
      <c r="F302" s="7" t="n">
        <v>1</v>
      </c>
      <c r="G302" s="8" t="n"/>
      <c r="H302" s="27" t="n"/>
      <c r="I302" s="27" t="n"/>
      <c r="J302" s="8" t="n"/>
      <c r="K302" s="8" t="n"/>
      <c r="L302" s="10" t="n"/>
      <c r="M302" s="8" t="n"/>
      <c r="N302" s="11">
        <f>IF(OR(J302="",H302="",I302=""),"",J302/((I302-H302)*1440))</f>
        <v/>
      </c>
      <c r="O302" s="7" t="n"/>
      <c r="P302" s="7" t="n"/>
      <c r="Q302" s="7" t="n"/>
      <c r="R302" s="12" t="n"/>
      <c r="S302" s="13">
        <f>IF(OR(R302="",J302=""),"",R302/J302-1)</f>
        <v/>
      </c>
      <c r="T302" s="14">
        <f>IF(OR(L302="",R302="",J302=""),"",SQRT(4+(L302^2-4)*(R302/J302)^2))</f>
        <v/>
      </c>
      <c r="U302" s="7" t="n"/>
      <c r="V302" s="7" t="n"/>
    </row>
    <row r="303">
      <c r="A303" s="7" t="inlineStr">
        <is>
          <t>b-1/2-10-i2</t>
        </is>
      </c>
      <c r="B303" s="7" t="inlineStr">
        <is>
          <t>1/2</t>
        </is>
      </c>
      <c r="C303" s="7" t="inlineStr">
        <is>
          <t>b</t>
        </is>
      </c>
      <c r="D303" s="7" t="inlineStr">
        <is>
          <t>b (.825)</t>
        </is>
      </c>
      <c r="E303" s="7" t="n">
        <v>10</v>
      </c>
      <c r="F303" s="7" t="n">
        <v>2</v>
      </c>
      <c r="G303" s="8" t="n"/>
      <c r="H303" s="27" t="n"/>
      <c r="I303" s="27" t="n"/>
      <c r="J303" s="8" t="n"/>
      <c r="K303" s="8" t="n"/>
      <c r="L303" s="10" t="n"/>
      <c r="M303" s="8" t="n"/>
      <c r="N303" s="11">
        <f>IF(OR(J303="",H303="",I303=""),"",J303/((I303-H303)*1440))</f>
        <v/>
      </c>
      <c r="O303" s="7" t="n"/>
      <c r="P303" s="7" t="n"/>
      <c r="Q303" s="7" t="n"/>
      <c r="R303" s="12" t="n"/>
      <c r="S303" s="13">
        <f>IF(OR(R303="",J303=""),"",R303/J303-1)</f>
        <v/>
      </c>
      <c r="T303" s="14">
        <f>IF(OR(L303="",R303="",J303=""),"",SQRT(4+(L303^2-4)*(R303/J303)^2))</f>
        <v/>
      </c>
      <c r="U303" s="7" t="n"/>
      <c r="V303" s="7" t="n"/>
    </row>
    <row r="304">
      <c r="A304" s="7" t="inlineStr">
        <is>
          <t>b-1/2-10-i3</t>
        </is>
      </c>
      <c r="B304" s="7" t="inlineStr">
        <is>
          <t>1/2</t>
        </is>
      </c>
      <c r="C304" s="7" t="inlineStr">
        <is>
          <t>b</t>
        </is>
      </c>
      <c r="D304" s="7" t="inlineStr">
        <is>
          <t>b (.825)</t>
        </is>
      </c>
      <c r="E304" s="7" t="n">
        <v>10</v>
      </c>
      <c r="F304" s="7" t="n">
        <v>3</v>
      </c>
      <c r="G304" s="8" t="n"/>
      <c r="H304" s="27" t="n"/>
      <c r="I304" s="27" t="n"/>
      <c r="J304" s="8" t="n"/>
      <c r="K304" s="8" t="n"/>
      <c r="L304" s="10" t="n"/>
      <c r="M304" s="8" t="n"/>
      <c r="N304" s="11">
        <f>IF(OR(J304="",H304="",I304=""),"",J304/((I304-H304)*1440))</f>
        <v/>
      </c>
      <c r="O304" s="7" t="n"/>
      <c r="P304" s="7" t="n"/>
      <c r="Q304" s="7" t="n"/>
      <c r="R304" s="12" t="n"/>
      <c r="S304" s="13">
        <f>IF(OR(R304="",J304=""),"",R304/J304-1)</f>
        <v/>
      </c>
      <c r="T304" s="14">
        <f>IF(OR(L304="",R304="",J304=""),"",SQRT(4+(L304^2-4)*(R304/J304)^2))</f>
        <v/>
      </c>
      <c r="U304" s="7" t="n"/>
      <c r="V304" s="7" t="n"/>
    </row>
    <row r="305">
      <c r="A305" s="7" t="inlineStr">
        <is>
          <t>C-1/2-0.5-i1</t>
        </is>
      </c>
      <c r="B305" s="7" t="inlineStr">
        <is>
          <t>1/2</t>
        </is>
      </c>
      <c r="C305" s="7" t="inlineStr">
        <is>
          <t>C</t>
        </is>
      </c>
      <c r="D305" s="7" t="inlineStr">
        <is>
          <t>C</t>
        </is>
      </c>
      <c r="E305" s="7" t="n">
        <v>0.5</v>
      </c>
      <c r="F305" s="7" t="n">
        <v>1</v>
      </c>
      <c r="G305" s="8" t="n"/>
      <c r="H305" s="27" t="n"/>
      <c r="I305" s="27" t="n"/>
      <c r="J305" s="8" t="n"/>
      <c r="K305" s="8" t="n"/>
      <c r="L305" s="10" t="n"/>
      <c r="M305" s="8" t="n"/>
      <c r="N305" s="11">
        <f>IF(OR(J305="",H305="",I305=""),"",J305/((I305-H305)*1440))</f>
        <v/>
      </c>
      <c r="O305" s="7" t="n"/>
      <c r="P305" s="7" t="n"/>
      <c r="Q305" s="7" t="n"/>
      <c r="R305" s="12" t="n"/>
      <c r="S305" s="13">
        <f>IF(OR(R305="",J305=""),"",R305/J305-1)</f>
        <v/>
      </c>
      <c r="T305" s="14">
        <f>IF(OR(L305="",R305="",J305=""),"",SQRT(4+(L305^2-4)*(R305/J305)^2))</f>
        <v/>
      </c>
      <c r="U305" s="7" t="n"/>
      <c r="V305" s="7" t="n"/>
    </row>
    <row r="306">
      <c r="A306" s="7" t="inlineStr">
        <is>
          <t>C-1/2-0.5-i2</t>
        </is>
      </c>
      <c r="B306" s="7" t="inlineStr">
        <is>
          <t>1/2</t>
        </is>
      </c>
      <c r="C306" s="7" t="inlineStr">
        <is>
          <t>C</t>
        </is>
      </c>
      <c r="D306" s="7" t="inlineStr">
        <is>
          <t>C</t>
        </is>
      </c>
      <c r="E306" s="7" t="n">
        <v>0.5</v>
      </c>
      <c r="F306" s="7" t="n">
        <v>2</v>
      </c>
      <c r="G306" s="8" t="n"/>
      <c r="H306" s="27" t="n"/>
      <c r="I306" s="27" t="n"/>
      <c r="J306" s="8" t="n"/>
      <c r="K306" s="8" t="n"/>
      <c r="L306" s="10" t="n"/>
      <c r="M306" s="8" t="n"/>
      <c r="N306" s="11">
        <f>IF(OR(J306="",H306="",I306=""),"",J306/((I306-H306)*1440))</f>
        <v/>
      </c>
      <c r="O306" s="7" t="n"/>
      <c r="P306" s="7" t="n"/>
      <c r="Q306" s="7" t="n"/>
      <c r="R306" s="12" t="n"/>
      <c r="S306" s="13">
        <f>IF(OR(R306="",J306=""),"",R306/J306-1)</f>
        <v/>
      </c>
      <c r="T306" s="14">
        <f>IF(OR(L306="",R306="",J306=""),"",SQRT(4+(L306^2-4)*(R306/J306)^2))</f>
        <v/>
      </c>
      <c r="U306" s="7" t="n"/>
      <c r="V306" s="7" t="n"/>
    </row>
    <row r="307">
      <c r="A307" s="7" t="inlineStr">
        <is>
          <t>C-1/2-0.5-i3</t>
        </is>
      </c>
      <c r="B307" s="7" t="inlineStr">
        <is>
          <t>1/2</t>
        </is>
      </c>
      <c r="C307" s="7" t="inlineStr">
        <is>
          <t>C</t>
        </is>
      </c>
      <c r="D307" s="7" t="inlineStr">
        <is>
          <t>C</t>
        </is>
      </c>
      <c r="E307" s="7" t="n">
        <v>0.5</v>
      </c>
      <c r="F307" s="7" t="n">
        <v>3</v>
      </c>
      <c r="G307" s="8" t="n"/>
      <c r="H307" s="27" t="n"/>
      <c r="I307" s="27" t="n"/>
      <c r="J307" s="8" t="n"/>
      <c r="K307" s="8" t="n"/>
      <c r="L307" s="10" t="n"/>
      <c r="M307" s="8" t="n"/>
      <c r="N307" s="11">
        <f>IF(OR(J307="",H307="",I307=""),"",J307/((I307-H307)*1440))</f>
        <v/>
      </c>
      <c r="O307" s="7" t="n"/>
      <c r="P307" s="7" t="n"/>
      <c r="Q307" s="7" t="n"/>
      <c r="R307" s="12" t="n"/>
      <c r="S307" s="13">
        <f>IF(OR(R307="",J307=""),"",R307/J307-1)</f>
        <v/>
      </c>
      <c r="T307" s="14">
        <f>IF(OR(L307="",R307="",J307=""),"",SQRT(4+(L307^2-4)*(R307/J307)^2))</f>
        <v/>
      </c>
      <c r="U307" s="7" t="n"/>
      <c r="V307" s="7" t="n"/>
    </row>
    <row r="308">
      <c r="A308" s="7" t="inlineStr">
        <is>
          <t>C-1/2-1-i1</t>
        </is>
      </c>
      <c r="B308" s="7" t="inlineStr">
        <is>
          <t>1/2</t>
        </is>
      </c>
      <c r="C308" s="7" t="inlineStr">
        <is>
          <t>C</t>
        </is>
      </c>
      <c r="D308" s="7" t="inlineStr">
        <is>
          <t>C</t>
        </is>
      </c>
      <c r="E308" s="7" t="n">
        <v>1</v>
      </c>
      <c r="F308" s="7" t="n">
        <v>1</v>
      </c>
      <c r="G308" s="8" t="n"/>
      <c r="H308" s="27" t="n"/>
      <c r="I308" s="27" t="n"/>
      <c r="J308" s="8" t="n"/>
      <c r="K308" s="8" t="n"/>
      <c r="L308" s="10" t="n"/>
      <c r="M308" s="8" t="n"/>
      <c r="N308" s="11">
        <f>IF(OR(J308="",H308="",I308=""),"",J308/((I308-H308)*1440))</f>
        <v/>
      </c>
      <c r="O308" s="7" t="n"/>
      <c r="P308" s="7" t="n"/>
      <c r="Q308" s="7" t="n"/>
      <c r="R308" s="12" t="n"/>
      <c r="S308" s="13">
        <f>IF(OR(R308="",J308=""),"",R308/J308-1)</f>
        <v/>
      </c>
      <c r="T308" s="14">
        <f>IF(OR(L308="",R308="",J308=""),"",SQRT(4+(L308^2-4)*(R308/J308)^2))</f>
        <v/>
      </c>
      <c r="U308" s="7" t="n"/>
      <c r="V308" s="7" t="n"/>
    </row>
    <row r="309">
      <c r="A309" s="7" t="inlineStr">
        <is>
          <t>C-1/2-1-i2</t>
        </is>
      </c>
      <c r="B309" s="7" t="inlineStr">
        <is>
          <t>1/2</t>
        </is>
      </c>
      <c r="C309" s="7" t="inlineStr">
        <is>
          <t>C</t>
        </is>
      </c>
      <c r="D309" s="7" t="inlineStr">
        <is>
          <t>C</t>
        </is>
      </c>
      <c r="E309" s="7" t="n">
        <v>1</v>
      </c>
      <c r="F309" s="7" t="n">
        <v>2</v>
      </c>
      <c r="G309" s="8" t="n"/>
      <c r="H309" s="27" t="n"/>
      <c r="I309" s="27" t="n"/>
      <c r="J309" s="8" t="n"/>
      <c r="K309" s="8" t="n"/>
      <c r="L309" s="10" t="n"/>
      <c r="M309" s="8" t="n"/>
      <c r="N309" s="11">
        <f>IF(OR(J309="",H309="",I309=""),"",J309/((I309-H309)*1440))</f>
        <v/>
      </c>
      <c r="O309" s="7" t="n"/>
      <c r="P309" s="7" t="n"/>
      <c r="Q309" s="7" t="n"/>
      <c r="R309" s="12" t="n"/>
      <c r="S309" s="13">
        <f>IF(OR(R309="",J309=""),"",R309/J309-1)</f>
        <v/>
      </c>
      <c r="T309" s="14">
        <f>IF(OR(L309="",R309="",J309=""),"",SQRT(4+(L309^2-4)*(R309/J309)^2))</f>
        <v/>
      </c>
      <c r="U309" s="7" t="n"/>
      <c r="V309" s="7" t="n"/>
    </row>
    <row r="310">
      <c r="A310" s="7" t="inlineStr">
        <is>
          <t>C-1/2-1-i3</t>
        </is>
      </c>
      <c r="B310" s="7" t="inlineStr">
        <is>
          <t>1/2</t>
        </is>
      </c>
      <c r="C310" s="7" t="inlineStr">
        <is>
          <t>C</t>
        </is>
      </c>
      <c r="D310" s="7" t="inlineStr">
        <is>
          <t>C</t>
        </is>
      </c>
      <c r="E310" s="7" t="n">
        <v>1</v>
      </c>
      <c r="F310" s="7" t="n">
        <v>3</v>
      </c>
      <c r="G310" s="8" t="n"/>
      <c r="H310" s="27" t="n"/>
      <c r="I310" s="27" t="n"/>
      <c r="J310" s="8" t="n"/>
      <c r="K310" s="8" t="n"/>
      <c r="L310" s="10" t="n"/>
      <c r="M310" s="8" t="n"/>
      <c r="N310" s="11">
        <f>IF(OR(J310="",H310="",I310=""),"",J310/((I310-H310)*1440))</f>
        <v/>
      </c>
      <c r="O310" s="7" t="n"/>
      <c r="P310" s="7" t="n"/>
      <c r="Q310" s="7" t="n"/>
      <c r="R310" s="12" t="n"/>
      <c r="S310" s="13">
        <f>IF(OR(R310="",J310=""),"",R310/J310-1)</f>
        <v/>
      </c>
      <c r="T310" s="14">
        <f>IF(OR(L310="",R310="",J310=""),"",SQRT(4+(L310^2-4)*(R310/J310)^2))</f>
        <v/>
      </c>
      <c r="U310" s="7" t="n"/>
      <c r="V310" s="7" t="n"/>
    </row>
    <row r="311">
      <c r="A311" s="7" t="inlineStr">
        <is>
          <t>C-1/2-3-i1</t>
        </is>
      </c>
      <c r="B311" s="7" t="inlineStr">
        <is>
          <t>1/2</t>
        </is>
      </c>
      <c r="C311" s="7" t="inlineStr">
        <is>
          <t>C</t>
        </is>
      </c>
      <c r="D311" s="7" t="inlineStr">
        <is>
          <t>C</t>
        </is>
      </c>
      <c r="E311" s="7" t="n">
        <v>3</v>
      </c>
      <c r="F311" s="7" t="n">
        <v>1</v>
      </c>
      <c r="G311" s="8" t="n"/>
      <c r="H311" s="27" t="n"/>
      <c r="I311" s="27" t="n"/>
      <c r="J311" s="8" t="n"/>
      <c r="K311" s="8" t="n"/>
      <c r="L311" s="10" t="n"/>
      <c r="M311" s="8" t="n"/>
      <c r="N311" s="11">
        <f>IF(OR(J311="",H311="",I311=""),"",J311/((I311-H311)*1440))</f>
        <v/>
      </c>
      <c r="O311" s="7" t="n"/>
      <c r="P311" s="7" t="n"/>
      <c r="Q311" s="7" t="n"/>
      <c r="R311" s="12" t="n"/>
      <c r="S311" s="13">
        <f>IF(OR(R311="",J311=""),"",R311/J311-1)</f>
        <v/>
      </c>
      <c r="T311" s="14">
        <f>IF(OR(L311="",R311="",J311=""),"",SQRT(4+(L311^2-4)*(R311/J311)^2))</f>
        <v/>
      </c>
      <c r="U311" s="7" t="n"/>
      <c r="V311" s="7" t="n"/>
    </row>
    <row r="312">
      <c r="A312" s="7" t="inlineStr">
        <is>
          <t>C-1/2-3-i2</t>
        </is>
      </c>
      <c r="B312" s="7" t="inlineStr">
        <is>
          <t>1/2</t>
        </is>
      </c>
      <c r="C312" s="7" t="inlineStr">
        <is>
          <t>C</t>
        </is>
      </c>
      <c r="D312" s="7" t="inlineStr">
        <is>
          <t>C</t>
        </is>
      </c>
      <c r="E312" s="7" t="n">
        <v>3</v>
      </c>
      <c r="F312" s="7" t="n">
        <v>2</v>
      </c>
      <c r="G312" s="8" t="n"/>
      <c r="H312" s="27" t="n"/>
      <c r="I312" s="27" t="n"/>
      <c r="J312" s="8" t="n"/>
      <c r="K312" s="8" t="n"/>
      <c r="L312" s="10" t="n"/>
      <c r="M312" s="8" t="n"/>
      <c r="N312" s="11">
        <f>IF(OR(J312="",H312="",I312=""),"",J312/((I312-H312)*1440))</f>
        <v/>
      </c>
      <c r="O312" s="7" t="n"/>
      <c r="P312" s="7" t="n"/>
      <c r="Q312" s="7" t="n"/>
      <c r="R312" s="12" t="n"/>
      <c r="S312" s="13">
        <f>IF(OR(R312="",J312=""),"",R312/J312-1)</f>
        <v/>
      </c>
      <c r="T312" s="14">
        <f>IF(OR(L312="",R312="",J312=""),"",SQRT(4+(L312^2-4)*(R312/J312)^2))</f>
        <v/>
      </c>
      <c r="U312" s="7" t="n"/>
      <c r="V312" s="7" t="n"/>
    </row>
    <row r="313">
      <c r="A313" s="7" t="inlineStr">
        <is>
          <t>C-1/2-3-i3</t>
        </is>
      </c>
      <c r="B313" s="7" t="inlineStr">
        <is>
          <t>1/2</t>
        </is>
      </c>
      <c r="C313" s="7" t="inlineStr">
        <is>
          <t>C</t>
        </is>
      </c>
      <c r="D313" s="7" t="inlineStr">
        <is>
          <t>C</t>
        </is>
      </c>
      <c r="E313" s="7" t="n">
        <v>3</v>
      </c>
      <c r="F313" s="7" t="n">
        <v>3</v>
      </c>
      <c r="G313" s="8" t="n"/>
      <c r="H313" s="27" t="n"/>
      <c r="I313" s="27" t="n"/>
      <c r="J313" s="8" t="n"/>
      <c r="K313" s="8" t="n"/>
      <c r="L313" s="10" t="n"/>
      <c r="M313" s="8" t="n"/>
      <c r="N313" s="11">
        <f>IF(OR(J313="",H313="",I313=""),"",J313/((I313-H313)*1440))</f>
        <v/>
      </c>
      <c r="O313" s="7" t="n"/>
      <c r="P313" s="7" t="n"/>
      <c r="Q313" s="7" t="n"/>
      <c r="R313" s="12" t="n"/>
      <c r="S313" s="13">
        <f>IF(OR(R313="",J313=""),"",R313/J313-1)</f>
        <v/>
      </c>
      <c r="T313" s="14">
        <f>IF(OR(L313="",R313="",J313=""),"",SQRT(4+(L313^2-4)*(R313/J313)^2))</f>
        <v/>
      </c>
      <c r="U313" s="7" t="n"/>
      <c r="V313" s="7" t="n"/>
    </row>
    <row r="314">
      <c r="A314" s="7" t="inlineStr">
        <is>
          <t>C-1/2-5-i1</t>
        </is>
      </c>
      <c r="B314" s="7" t="inlineStr">
        <is>
          <t>1/2</t>
        </is>
      </c>
      <c r="C314" s="7" t="inlineStr">
        <is>
          <t>C</t>
        </is>
      </c>
      <c r="D314" s="7" t="inlineStr">
        <is>
          <t>C</t>
        </is>
      </c>
      <c r="E314" s="7" t="n">
        <v>5</v>
      </c>
      <c r="F314" s="7" t="n">
        <v>1</v>
      </c>
      <c r="G314" s="8" t="n"/>
      <c r="H314" s="27" t="n"/>
      <c r="I314" s="27" t="n"/>
      <c r="J314" s="8" t="n"/>
      <c r="K314" s="8" t="n"/>
      <c r="L314" s="10" t="n"/>
      <c r="M314" s="8" t="n"/>
      <c r="N314" s="11">
        <f>IF(OR(J314="",H314="",I314=""),"",J314/((I314-H314)*1440))</f>
        <v/>
      </c>
      <c r="O314" s="7" t="n"/>
      <c r="P314" s="7" t="n"/>
      <c r="Q314" s="7" t="n"/>
      <c r="R314" s="12" t="n"/>
      <c r="S314" s="13">
        <f>IF(OR(R314="",J314=""),"",R314/J314-1)</f>
        <v/>
      </c>
      <c r="T314" s="14">
        <f>IF(OR(L314="",R314="",J314=""),"",SQRT(4+(L314^2-4)*(R314/J314)^2))</f>
        <v/>
      </c>
      <c r="U314" s="7" t="n"/>
      <c r="V314" s="7" t="n"/>
    </row>
    <row r="315">
      <c r="A315" s="7" t="inlineStr">
        <is>
          <t>C-1/2-5-i2</t>
        </is>
      </c>
      <c r="B315" s="7" t="inlineStr">
        <is>
          <t>1/2</t>
        </is>
      </c>
      <c r="C315" s="7" t="inlineStr">
        <is>
          <t>C</t>
        </is>
      </c>
      <c r="D315" s="7" t="inlineStr">
        <is>
          <t>C</t>
        </is>
      </c>
      <c r="E315" s="7" t="n">
        <v>5</v>
      </c>
      <c r="F315" s="7" t="n">
        <v>2</v>
      </c>
      <c r="G315" s="8" t="n"/>
      <c r="H315" s="27" t="n"/>
      <c r="I315" s="27" t="n"/>
      <c r="J315" s="8" t="n"/>
      <c r="K315" s="8" t="n"/>
      <c r="L315" s="10" t="n"/>
      <c r="M315" s="8" t="n"/>
      <c r="N315" s="11">
        <f>IF(OR(J315="",H315="",I315=""),"",J315/((I315-H315)*1440))</f>
        <v/>
      </c>
      <c r="O315" s="7" t="n"/>
      <c r="P315" s="7" t="n"/>
      <c r="Q315" s="7" t="n"/>
      <c r="R315" s="12" t="n"/>
      <c r="S315" s="13">
        <f>IF(OR(R315="",J315=""),"",R315/J315-1)</f>
        <v/>
      </c>
      <c r="T315" s="14">
        <f>IF(OR(L315="",R315="",J315=""),"",SQRT(4+(L315^2-4)*(R315/J315)^2))</f>
        <v/>
      </c>
      <c r="U315" s="7" t="n"/>
      <c r="V315" s="7" t="n"/>
    </row>
    <row r="316">
      <c r="A316" s="7" t="inlineStr">
        <is>
          <t>C-1/2-5-i3</t>
        </is>
      </c>
      <c r="B316" s="7" t="inlineStr">
        <is>
          <t>1/2</t>
        </is>
      </c>
      <c r="C316" s="7" t="inlineStr">
        <is>
          <t>C</t>
        </is>
      </c>
      <c r="D316" s="7" t="inlineStr">
        <is>
          <t>C</t>
        </is>
      </c>
      <c r="E316" s="7" t="n">
        <v>5</v>
      </c>
      <c r="F316" s="7" t="n">
        <v>3</v>
      </c>
      <c r="G316" s="8" t="n"/>
      <c r="H316" s="27" t="n"/>
      <c r="I316" s="27" t="n"/>
      <c r="J316" s="8" t="n"/>
      <c r="K316" s="8" t="n"/>
      <c r="L316" s="10" t="n"/>
      <c r="M316" s="8" t="n"/>
      <c r="N316" s="11">
        <f>IF(OR(J316="",H316="",I316=""),"",J316/((I316-H316)*1440))</f>
        <v/>
      </c>
      <c r="O316" s="7" t="n"/>
      <c r="P316" s="7" t="n"/>
      <c r="Q316" s="7" t="n"/>
      <c r="R316" s="12" t="n"/>
      <c r="S316" s="13">
        <f>IF(OR(R316="",J316=""),"",R316/J316-1)</f>
        <v/>
      </c>
      <c r="T316" s="14">
        <f>IF(OR(L316="",R316="",J316=""),"",SQRT(4+(L316^2-4)*(R316/J316)^2))</f>
        <v/>
      </c>
      <c r="U316" s="7" t="n"/>
      <c r="V316" s="7" t="n"/>
    </row>
    <row r="317">
      <c r="A317" s="7" t="inlineStr">
        <is>
          <t>C-1/2-10-i1</t>
        </is>
      </c>
      <c r="B317" s="7" t="inlineStr">
        <is>
          <t>1/2</t>
        </is>
      </c>
      <c r="C317" s="7" t="inlineStr">
        <is>
          <t>C</t>
        </is>
      </c>
      <c r="D317" s="7" t="inlineStr">
        <is>
          <t>C</t>
        </is>
      </c>
      <c r="E317" s="7" t="n">
        <v>10</v>
      </c>
      <c r="F317" s="7" t="n">
        <v>1</v>
      </c>
      <c r="G317" s="8" t="n"/>
      <c r="H317" s="27" t="n"/>
      <c r="I317" s="27" t="n"/>
      <c r="J317" s="8" t="n"/>
      <c r="K317" s="8" t="n"/>
      <c r="L317" s="10" t="n"/>
      <c r="M317" s="8" t="n"/>
      <c r="N317" s="11">
        <f>IF(OR(J317="",H317="",I317=""),"",J317/((I317-H317)*1440))</f>
        <v/>
      </c>
      <c r="O317" s="7" t="n"/>
      <c r="P317" s="7" t="n"/>
      <c r="Q317" s="7" t="n"/>
      <c r="R317" s="12" t="n"/>
      <c r="S317" s="13">
        <f>IF(OR(R317="",J317=""),"",R317/J317-1)</f>
        <v/>
      </c>
      <c r="T317" s="14">
        <f>IF(OR(L317="",R317="",J317=""),"",SQRT(4+(L317^2-4)*(R317/J317)^2))</f>
        <v/>
      </c>
      <c r="U317" s="7" t="n"/>
      <c r="V317" s="7" t="n"/>
    </row>
    <row r="318">
      <c r="A318" s="7" t="inlineStr">
        <is>
          <t>C-1/2-10-i2</t>
        </is>
      </c>
      <c r="B318" s="7" t="inlineStr">
        <is>
          <t>1/2</t>
        </is>
      </c>
      <c r="C318" s="7" t="inlineStr">
        <is>
          <t>C</t>
        </is>
      </c>
      <c r="D318" s="7" t="inlineStr">
        <is>
          <t>C</t>
        </is>
      </c>
      <c r="E318" s="7" t="n">
        <v>10</v>
      </c>
      <c r="F318" s="7" t="n">
        <v>2</v>
      </c>
      <c r="G318" s="8" t="n"/>
      <c r="H318" s="27" t="n"/>
      <c r="I318" s="27" t="n"/>
      <c r="J318" s="8" t="n"/>
      <c r="K318" s="8" t="n"/>
      <c r="L318" s="10" t="n"/>
      <c r="M318" s="8" t="n"/>
      <c r="N318" s="11">
        <f>IF(OR(J318="",H318="",I318=""),"",J318/((I318-H318)*1440))</f>
        <v/>
      </c>
      <c r="O318" s="7" t="n"/>
      <c r="P318" s="7" t="n"/>
      <c r="Q318" s="7" t="n"/>
      <c r="R318" s="12" t="n"/>
      <c r="S318" s="13">
        <f>IF(OR(R318="",J318=""),"",R318/J318-1)</f>
        <v/>
      </c>
      <c r="T318" s="14">
        <f>IF(OR(L318="",R318="",J318=""),"",SQRT(4+(L318^2-4)*(R318/J318)^2))</f>
        <v/>
      </c>
      <c r="U318" s="7" t="n"/>
      <c r="V318" s="7" t="n"/>
    </row>
    <row r="319">
      <c r="A319" s="7" t="inlineStr">
        <is>
          <t>C-1/2-10-i3</t>
        </is>
      </c>
      <c r="B319" s="7" t="inlineStr">
        <is>
          <t>1/2</t>
        </is>
      </c>
      <c r="C319" s="7" t="inlineStr">
        <is>
          <t>C</t>
        </is>
      </c>
      <c r="D319" s="7" t="inlineStr">
        <is>
          <t>C</t>
        </is>
      </c>
      <c r="E319" s="7" t="n">
        <v>10</v>
      </c>
      <c r="F319" s="7" t="n">
        <v>3</v>
      </c>
      <c r="G319" s="8" t="n"/>
      <c r="H319" s="27" t="n"/>
      <c r="I319" s="27" t="n"/>
      <c r="J319" s="8" t="n"/>
      <c r="K319" s="8" t="n"/>
      <c r="L319" s="10" t="n"/>
      <c r="M319" s="8" t="n"/>
      <c r="N319" s="11">
        <f>IF(OR(J319="",H319="",I319=""),"",J319/((I319-H319)*1440))</f>
        <v/>
      </c>
      <c r="O319" s="7" t="n"/>
      <c r="P319" s="7" t="n"/>
      <c r="Q319" s="7" t="n"/>
      <c r="R319" s="12" t="n"/>
      <c r="S319" s="13">
        <f>IF(OR(R319="",J319=""),"",R319/J319-1)</f>
        <v/>
      </c>
      <c r="T319" s="14">
        <f>IF(OR(L319="",R319="",J319=""),"",SQRT(4+(L319^2-4)*(R319/J319)^2))</f>
        <v/>
      </c>
      <c r="U319" s="7" t="n"/>
      <c r="V319" s="7" t="n"/>
    </row>
    <row r="320">
      <c r="A320" s="7" t="inlineStr">
        <is>
          <t>c-1/2-0.5-i1</t>
        </is>
      </c>
      <c r="B320" s="7" t="inlineStr">
        <is>
          <t>1/2</t>
        </is>
      </c>
      <c r="C320" s="7" t="inlineStr">
        <is>
          <t>c</t>
        </is>
      </c>
      <c r="D320" s="7" t="inlineStr">
        <is>
          <t>c</t>
        </is>
      </c>
      <c r="E320" s="7" t="n">
        <v>0.5</v>
      </c>
      <c r="F320" s="7" t="n">
        <v>1</v>
      </c>
      <c r="G320" s="8" t="n"/>
      <c r="H320" s="27" t="n"/>
      <c r="I320" s="27" t="n"/>
      <c r="J320" s="8" t="n"/>
      <c r="K320" s="8" t="n"/>
      <c r="L320" s="10" t="n"/>
      <c r="M320" s="8" t="n"/>
      <c r="N320" s="11">
        <f>IF(OR(J320="",H320="",I320=""),"",J320/((I320-H320)*1440))</f>
        <v/>
      </c>
      <c r="O320" s="7" t="n"/>
      <c r="P320" s="7" t="n"/>
      <c r="Q320" s="7" t="n"/>
      <c r="R320" s="12" t="n"/>
      <c r="S320" s="13">
        <f>IF(OR(R320="",J320=""),"",R320/J320-1)</f>
        <v/>
      </c>
      <c r="T320" s="14">
        <f>IF(OR(L320="",R320="",J320=""),"",SQRT(4+(L320^2-4)*(R320/J320)^2))</f>
        <v/>
      </c>
      <c r="U320" s="7" t="n"/>
      <c r="V320" s="7" t="n"/>
    </row>
    <row r="321">
      <c r="A321" s="7" t="inlineStr">
        <is>
          <t>c-1/2-0.5-i2</t>
        </is>
      </c>
      <c r="B321" s="7" t="inlineStr">
        <is>
          <t>1/2</t>
        </is>
      </c>
      <c r="C321" s="7" t="inlineStr">
        <is>
          <t>c</t>
        </is>
      </c>
      <c r="D321" s="7" t="inlineStr">
        <is>
          <t>c</t>
        </is>
      </c>
      <c r="E321" s="7" t="n">
        <v>0.5</v>
      </c>
      <c r="F321" s="7" t="n">
        <v>2</v>
      </c>
      <c r="G321" s="8" t="n"/>
      <c r="H321" s="27" t="n"/>
      <c r="I321" s="27" t="n"/>
      <c r="J321" s="8" t="n"/>
      <c r="K321" s="8" t="n"/>
      <c r="L321" s="10" t="n"/>
      <c r="M321" s="8" t="n"/>
      <c r="N321" s="11">
        <f>IF(OR(J321="",H321="",I321=""),"",J321/((I321-H321)*1440))</f>
        <v/>
      </c>
      <c r="O321" s="7" t="n"/>
      <c r="P321" s="7" t="n"/>
      <c r="Q321" s="7" t="n"/>
      <c r="R321" s="12" t="n"/>
      <c r="S321" s="13">
        <f>IF(OR(R321="",J321=""),"",R321/J321-1)</f>
        <v/>
      </c>
      <c r="T321" s="14">
        <f>IF(OR(L321="",R321="",J321=""),"",SQRT(4+(L321^2-4)*(R321/J321)^2))</f>
        <v/>
      </c>
      <c r="U321" s="7" t="n"/>
      <c r="V321" s="7" t="n"/>
    </row>
    <row r="322">
      <c r="A322" s="7" t="inlineStr">
        <is>
          <t>c-1/2-0.5-i3</t>
        </is>
      </c>
      <c r="B322" s="7" t="inlineStr">
        <is>
          <t>1/2</t>
        </is>
      </c>
      <c r="C322" s="7" t="inlineStr">
        <is>
          <t>c</t>
        </is>
      </c>
      <c r="D322" s="7" t="inlineStr">
        <is>
          <t>c</t>
        </is>
      </c>
      <c r="E322" s="7" t="n">
        <v>0.5</v>
      </c>
      <c r="F322" s="7" t="n">
        <v>3</v>
      </c>
      <c r="G322" s="8" t="n"/>
      <c r="H322" s="27" t="n"/>
      <c r="I322" s="27" t="n"/>
      <c r="J322" s="8" t="n"/>
      <c r="K322" s="8" t="n"/>
      <c r="L322" s="10" t="n"/>
      <c r="M322" s="8" t="n"/>
      <c r="N322" s="11">
        <f>IF(OR(J322="",H322="",I322=""),"",J322/((I322-H322)*1440))</f>
        <v/>
      </c>
      <c r="O322" s="7" t="n"/>
      <c r="P322" s="7" t="n"/>
      <c r="Q322" s="7" t="n"/>
      <c r="R322" s="12" t="n"/>
      <c r="S322" s="13">
        <f>IF(OR(R322="",J322=""),"",R322/J322-1)</f>
        <v/>
      </c>
      <c r="T322" s="14">
        <f>IF(OR(L322="",R322="",J322=""),"",SQRT(4+(L322^2-4)*(R322/J322)^2))</f>
        <v/>
      </c>
      <c r="U322" s="7" t="n"/>
      <c r="V322" s="7" t="n"/>
    </row>
    <row r="323">
      <c r="A323" s="7" t="inlineStr">
        <is>
          <t>c-1/2-1-i1</t>
        </is>
      </c>
      <c r="B323" s="7" t="inlineStr">
        <is>
          <t>1/2</t>
        </is>
      </c>
      <c r="C323" s="7" t="inlineStr">
        <is>
          <t>c</t>
        </is>
      </c>
      <c r="D323" s="7" t="inlineStr">
        <is>
          <t>c</t>
        </is>
      </c>
      <c r="E323" s="7" t="n">
        <v>1</v>
      </c>
      <c r="F323" s="7" t="n">
        <v>1</v>
      </c>
      <c r="G323" s="8" t="n"/>
      <c r="H323" s="27" t="n"/>
      <c r="I323" s="27" t="n"/>
      <c r="J323" s="8" t="n"/>
      <c r="K323" s="8" t="n"/>
      <c r="L323" s="10" t="n"/>
      <c r="M323" s="8" t="n"/>
      <c r="N323" s="11">
        <f>IF(OR(J323="",H323="",I323=""),"",J323/((I323-H323)*1440))</f>
        <v/>
      </c>
      <c r="O323" s="7" t="n"/>
      <c r="P323" s="7" t="n"/>
      <c r="Q323" s="7" t="n"/>
      <c r="R323" s="12" t="n"/>
      <c r="S323" s="13">
        <f>IF(OR(R323="",J323=""),"",R323/J323-1)</f>
        <v/>
      </c>
      <c r="T323" s="14">
        <f>IF(OR(L323="",R323="",J323=""),"",SQRT(4+(L323^2-4)*(R323/J323)^2))</f>
        <v/>
      </c>
      <c r="U323" s="7" t="n"/>
      <c r="V323" s="7" t="n"/>
    </row>
    <row r="324">
      <c r="A324" s="7" t="inlineStr">
        <is>
          <t>c-1/2-1-i2</t>
        </is>
      </c>
      <c r="B324" s="7" t="inlineStr">
        <is>
          <t>1/2</t>
        </is>
      </c>
      <c r="C324" s="7" t="inlineStr">
        <is>
          <t>c</t>
        </is>
      </c>
      <c r="D324" s="7" t="inlineStr">
        <is>
          <t>c</t>
        </is>
      </c>
      <c r="E324" s="7" t="n">
        <v>1</v>
      </c>
      <c r="F324" s="7" t="n">
        <v>2</v>
      </c>
      <c r="G324" s="8" t="n"/>
      <c r="H324" s="27" t="n"/>
      <c r="I324" s="27" t="n"/>
      <c r="J324" s="8" t="n"/>
      <c r="K324" s="8" t="n"/>
      <c r="L324" s="10" t="n"/>
      <c r="M324" s="8" t="n"/>
      <c r="N324" s="11">
        <f>IF(OR(J324="",H324="",I324=""),"",J324/((I324-H324)*1440))</f>
        <v/>
      </c>
      <c r="O324" s="7" t="n"/>
      <c r="P324" s="7" t="n"/>
      <c r="Q324" s="7" t="n"/>
      <c r="R324" s="12" t="n"/>
      <c r="S324" s="13">
        <f>IF(OR(R324="",J324=""),"",R324/J324-1)</f>
        <v/>
      </c>
      <c r="T324" s="14">
        <f>IF(OR(L324="",R324="",J324=""),"",SQRT(4+(L324^2-4)*(R324/J324)^2))</f>
        <v/>
      </c>
      <c r="U324" s="7" t="n"/>
      <c r="V324" s="7" t="n"/>
    </row>
    <row r="325">
      <c r="A325" s="7" t="inlineStr">
        <is>
          <t>c-1/2-1-i3</t>
        </is>
      </c>
      <c r="B325" s="7" t="inlineStr">
        <is>
          <t>1/2</t>
        </is>
      </c>
      <c r="C325" s="7" t="inlineStr">
        <is>
          <t>c</t>
        </is>
      </c>
      <c r="D325" s="7" t="inlineStr">
        <is>
          <t>c</t>
        </is>
      </c>
      <c r="E325" s="7" t="n">
        <v>1</v>
      </c>
      <c r="F325" s="7" t="n">
        <v>3</v>
      </c>
      <c r="G325" s="8" t="n"/>
      <c r="H325" s="27" t="n"/>
      <c r="I325" s="27" t="n"/>
      <c r="J325" s="8" t="n"/>
      <c r="K325" s="8" t="n"/>
      <c r="L325" s="10" t="n"/>
      <c r="M325" s="8" t="n"/>
      <c r="N325" s="11">
        <f>IF(OR(J325="",H325="",I325=""),"",J325/((I325-H325)*1440))</f>
        <v/>
      </c>
      <c r="O325" s="7" t="n"/>
      <c r="P325" s="7" t="n"/>
      <c r="Q325" s="7" t="n"/>
      <c r="R325" s="12" t="n"/>
      <c r="S325" s="13">
        <f>IF(OR(R325="",J325=""),"",R325/J325-1)</f>
        <v/>
      </c>
      <c r="T325" s="14">
        <f>IF(OR(L325="",R325="",J325=""),"",SQRT(4+(L325^2-4)*(R325/J325)^2))</f>
        <v/>
      </c>
      <c r="U325" s="7" t="n"/>
      <c r="V325" s="7" t="n"/>
    </row>
    <row r="326">
      <c r="A326" s="7" t="inlineStr">
        <is>
          <t>c-1/2-3-i1</t>
        </is>
      </c>
      <c r="B326" s="7" t="inlineStr">
        <is>
          <t>1/2</t>
        </is>
      </c>
      <c r="C326" s="7" t="inlineStr">
        <is>
          <t>c</t>
        </is>
      </c>
      <c r="D326" s="7" t="inlineStr">
        <is>
          <t>c</t>
        </is>
      </c>
      <c r="E326" s="7" t="n">
        <v>3</v>
      </c>
      <c r="F326" s="7" t="n">
        <v>1</v>
      </c>
      <c r="G326" s="8" t="n"/>
      <c r="H326" s="27" t="n"/>
      <c r="I326" s="27" t="n"/>
      <c r="J326" s="8" t="n"/>
      <c r="K326" s="8" t="n"/>
      <c r="L326" s="10" t="n"/>
      <c r="M326" s="8" t="n"/>
      <c r="N326" s="11">
        <f>IF(OR(J326="",H326="",I326=""),"",J326/((I326-H326)*1440))</f>
        <v/>
      </c>
      <c r="O326" s="7" t="n"/>
      <c r="P326" s="7" t="n"/>
      <c r="Q326" s="7" t="n"/>
      <c r="R326" s="12" t="n"/>
      <c r="S326" s="13">
        <f>IF(OR(R326="",J326=""),"",R326/J326-1)</f>
        <v/>
      </c>
      <c r="T326" s="14">
        <f>IF(OR(L326="",R326="",J326=""),"",SQRT(4+(L326^2-4)*(R326/J326)^2))</f>
        <v/>
      </c>
      <c r="U326" s="7" t="n"/>
      <c r="V326" s="7" t="n"/>
    </row>
    <row r="327">
      <c r="A327" s="7" t="inlineStr">
        <is>
          <t>c-1/2-3-i2</t>
        </is>
      </c>
      <c r="B327" s="7" t="inlineStr">
        <is>
          <t>1/2</t>
        </is>
      </c>
      <c r="C327" s="7" t="inlineStr">
        <is>
          <t>c</t>
        </is>
      </c>
      <c r="D327" s="7" t="inlineStr">
        <is>
          <t>c</t>
        </is>
      </c>
      <c r="E327" s="7" t="n">
        <v>3</v>
      </c>
      <c r="F327" s="7" t="n">
        <v>2</v>
      </c>
      <c r="G327" s="8" t="n"/>
      <c r="H327" s="27" t="n"/>
      <c r="I327" s="27" t="n"/>
      <c r="J327" s="8" t="n"/>
      <c r="K327" s="8" t="n"/>
      <c r="L327" s="10" t="n"/>
      <c r="M327" s="8" t="n"/>
      <c r="N327" s="11">
        <f>IF(OR(J327="",H327="",I327=""),"",J327/((I327-H327)*1440))</f>
        <v/>
      </c>
      <c r="O327" s="7" t="n"/>
      <c r="P327" s="7" t="n"/>
      <c r="Q327" s="7" t="n"/>
      <c r="R327" s="12" t="n"/>
      <c r="S327" s="13">
        <f>IF(OR(R327="",J327=""),"",R327/J327-1)</f>
        <v/>
      </c>
      <c r="T327" s="14">
        <f>IF(OR(L327="",R327="",J327=""),"",SQRT(4+(L327^2-4)*(R327/J327)^2))</f>
        <v/>
      </c>
      <c r="U327" s="7" t="n"/>
      <c r="V327" s="7" t="n"/>
    </row>
    <row r="328">
      <c r="A328" s="7" t="inlineStr">
        <is>
          <t>c-1/2-3-i3</t>
        </is>
      </c>
      <c r="B328" s="7" t="inlineStr">
        <is>
          <t>1/2</t>
        </is>
      </c>
      <c r="C328" s="7" t="inlineStr">
        <is>
          <t>c</t>
        </is>
      </c>
      <c r="D328" s="7" t="inlineStr">
        <is>
          <t>c</t>
        </is>
      </c>
      <c r="E328" s="7" t="n">
        <v>3</v>
      </c>
      <c r="F328" s="7" t="n">
        <v>3</v>
      </c>
      <c r="G328" s="8" t="n"/>
      <c r="H328" s="27" t="n"/>
      <c r="I328" s="27" t="n"/>
      <c r="J328" s="8" t="n"/>
      <c r="K328" s="8" t="n"/>
      <c r="L328" s="10" t="n"/>
      <c r="M328" s="8" t="n"/>
      <c r="N328" s="11">
        <f>IF(OR(J328="",H328="",I328=""),"",J328/((I328-H328)*1440))</f>
        <v/>
      </c>
      <c r="O328" s="7" t="n"/>
      <c r="P328" s="7" t="n"/>
      <c r="Q328" s="7" t="n"/>
      <c r="R328" s="12" t="n"/>
      <c r="S328" s="13">
        <f>IF(OR(R328="",J328=""),"",R328/J328-1)</f>
        <v/>
      </c>
      <c r="T328" s="14">
        <f>IF(OR(L328="",R328="",J328=""),"",SQRT(4+(L328^2-4)*(R328/J328)^2))</f>
        <v/>
      </c>
      <c r="U328" s="7" t="n"/>
      <c r="V328" s="7" t="n"/>
    </row>
    <row r="329">
      <c r="A329" s="7" t="inlineStr">
        <is>
          <t>c-1/2-5-i1</t>
        </is>
      </c>
      <c r="B329" s="7" t="inlineStr">
        <is>
          <t>1/2</t>
        </is>
      </c>
      <c r="C329" s="7" t="inlineStr">
        <is>
          <t>c</t>
        </is>
      </c>
      <c r="D329" s="7" t="inlineStr">
        <is>
          <t>c</t>
        </is>
      </c>
      <c r="E329" s="7" t="n">
        <v>5</v>
      </c>
      <c r="F329" s="7" t="n">
        <v>1</v>
      </c>
      <c r="G329" s="8" t="n"/>
      <c r="H329" s="27" t="n"/>
      <c r="I329" s="27" t="n"/>
      <c r="J329" s="8" t="n"/>
      <c r="K329" s="8" t="n"/>
      <c r="L329" s="10" t="n"/>
      <c r="M329" s="8" t="n"/>
      <c r="N329" s="11">
        <f>IF(OR(J329="",H329="",I329=""),"",J329/((I329-H329)*1440))</f>
        <v/>
      </c>
      <c r="O329" s="7" t="n"/>
      <c r="P329" s="7" t="n"/>
      <c r="Q329" s="7" t="n"/>
      <c r="R329" s="12" t="n"/>
      <c r="S329" s="13">
        <f>IF(OR(R329="",J329=""),"",R329/J329-1)</f>
        <v/>
      </c>
      <c r="T329" s="14">
        <f>IF(OR(L329="",R329="",J329=""),"",SQRT(4+(L329^2-4)*(R329/J329)^2))</f>
        <v/>
      </c>
      <c r="U329" s="7" t="n"/>
      <c r="V329" s="7" t="n"/>
    </row>
    <row r="330">
      <c r="A330" s="7" t="inlineStr">
        <is>
          <t>c-1/2-5-i2</t>
        </is>
      </c>
      <c r="B330" s="7" t="inlineStr">
        <is>
          <t>1/2</t>
        </is>
      </c>
      <c r="C330" s="7" t="inlineStr">
        <is>
          <t>c</t>
        </is>
      </c>
      <c r="D330" s="7" t="inlineStr">
        <is>
          <t>c</t>
        </is>
      </c>
      <c r="E330" s="7" t="n">
        <v>5</v>
      </c>
      <c r="F330" s="7" t="n">
        <v>2</v>
      </c>
      <c r="G330" s="8" t="n"/>
      <c r="H330" s="27" t="n"/>
      <c r="I330" s="27" t="n"/>
      <c r="J330" s="8" t="n"/>
      <c r="K330" s="8" t="n"/>
      <c r="L330" s="10" t="n"/>
      <c r="M330" s="8" t="n"/>
      <c r="N330" s="11">
        <f>IF(OR(J330="",H330="",I330=""),"",J330/((I330-H330)*1440))</f>
        <v/>
      </c>
      <c r="O330" s="7" t="n"/>
      <c r="P330" s="7" t="n"/>
      <c r="Q330" s="7" t="n"/>
      <c r="R330" s="12" t="n"/>
      <c r="S330" s="13">
        <f>IF(OR(R330="",J330=""),"",R330/J330-1)</f>
        <v/>
      </c>
      <c r="T330" s="14">
        <f>IF(OR(L330="",R330="",J330=""),"",SQRT(4+(L330^2-4)*(R330/J330)^2))</f>
        <v/>
      </c>
      <c r="U330" s="7" t="n"/>
      <c r="V330" s="7" t="n"/>
    </row>
    <row r="331">
      <c r="A331" s="7" t="inlineStr">
        <is>
          <t>c-1/2-5-i3</t>
        </is>
      </c>
      <c r="B331" s="7" t="inlineStr">
        <is>
          <t>1/2</t>
        </is>
      </c>
      <c r="C331" s="7" t="inlineStr">
        <is>
          <t>c</t>
        </is>
      </c>
      <c r="D331" s="7" t="inlineStr">
        <is>
          <t>c</t>
        </is>
      </c>
      <c r="E331" s="7" t="n">
        <v>5</v>
      </c>
      <c r="F331" s="7" t="n">
        <v>3</v>
      </c>
      <c r="G331" s="8" t="n"/>
      <c r="H331" s="27" t="n"/>
      <c r="I331" s="27" t="n"/>
      <c r="J331" s="8" t="n"/>
      <c r="K331" s="8" t="n"/>
      <c r="L331" s="10" t="n"/>
      <c r="M331" s="8" t="n"/>
      <c r="N331" s="11">
        <f>IF(OR(J331="",H331="",I331=""),"",J331/((I331-H331)*1440))</f>
        <v/>
      </c>
      <c r="O331" s="7" t="n"/>
      <c r="P331" s="7" t="n"/>
      <c r="Q331" s="7" t="n"/>
      <c r="R331" s="12" t="n"/>
      <c r="S331" s="13">
        <f>IF(OR(R331="",J331=""),"",R331/J331-1)</f>
        <v/>
      </c>
      <c r="T331" s="14">
        <f>IF(OR(L331="",R331="",J331=""),"",SQRT(4+(L331^2-4)*(R331/J331)^2))</f>
        <v/>
      </c>
      <c r="U331" s="7" t="n"/>
      <c r="V331" s="7" t="n"/>
    </row>
    <row r="332">
      <c r="A332" s="7" t="inlineStr">
        <is>
          <t>c-1/2-10-i1</t>
        </is>
      </c>
      <c r="B332" s="7" t="inlineStr">
        <is>
          <t>1/2</t>
        </is>
      </c>
      <c r="C332" s="7" t="inlineStr">
        <is>
          <t>c</t>
        </is>
      </c>
      <c r="D332" s="7" t="inlineStr">
        <is>
          <t>c</t>
        </is>
      </c>
      <c r="E332" s="7" t="n">
        <v>10</v>
      </c>
      <c r="F332" s="7" t="n">
        <v>1</v>
      </c>
      <c r="G332" s="8" t="n"/>
      <c r="H332" s="27" t="n"/>
      <c r="I332" s="27" t="n"/>
      <c r="J332" s="8" t="n"/>
      <c r="K332" s="8" t="n"/>
      <c r="L332" s="10" t="n"/>
      <c r="M332" s="8" t="n"/>
      <c r="N332" s="11">
        <f>IF(OR(J332="",H332="",I332=""),"",J332/((I332-H332)*1440))</f>
        <v/>
      </c>
      <c r="O332" s="7" t="n"/>
      <c r="P332" s="7" t="n"/>
      <c r="Q332" s="7" t="n"/>
      <c r="R332" s="12" t="n"/>
      <c r="S332" s="13">
        <f>IF(OR(R332="",J332=""),"",R332/J332-1)</f>
        <v/>
      </c>
      <c r="T332" s="14">
        <f>IF(OR(L332="",R332="",J332=""),"",SQRT(4+(L332^2-4)*(R332/J332)^2))</f>
        <v/>
      </c>
      <c r="U332" s="7" t="n"/>
      <c r="V332" s="7" t="n"/>
    </row>
    <row r="333">
      <c r="A333" s="7" t="inlineStr">
        <is>
          <t>c-1/2-10-i2</t>
        </is>
      </c>
      <c r="B333" s="7" t="inlineStr">
        <is>
          <t>1/2</t>
        </is>
      </c>
      <c r="C333" s="7" t="inlineStr">
        <is>
          <t>c</t>
        </is>
      </c>
      <c r="D333" s="7" t="inlineStr">
        <is>
          <t>c</t>
        </is>
      </c>
      <c r="E333" s="7" t="n">
        <v>10</v>
      </c>
      <c r="F333" s="7" t="n">
        <v>2</v>
      </c>
      <c r="G333" s="8" t="n"/>
      <c r="H333" s="27" t="n"/>
      <c r="I333" s="27" t="n"/>
      <c r="J333" s="8" t="n"/>
      <c r="K333" s="8" t="n"/>
      <c r="L333" s="10" t="n"/>
      <c r="M333" s="8" t="n"/>
      <c r="N333" s="11">
        <f>IF(OR(J333="",H333="",I333=""),"",J333/((I333-H333)*1440))</f>
        <v/>
      </c>
      <c r="O333" s="7" t="n"/>
      <c r="P333" s="7" t="n"/>
      <c r="Q333" s="7" t="n"/>
      <c r="R333" s="12" t="n"/>
      <c r="S333" s="13">
        <f>IF(OR(R333="",J333=""),"",R333/J333-1)</f>
        <v/>
      </c>
      <c r="T333" s="14">
        <f>IF(OR(L333="",R333="",J333=""),"",SQRT(4+(L333^2-4)*(R333/J333)^2))</f>
        <v/>
      </c>
      <c r="U333" s="7" t="n"/>
      <c r="V333" s="7" t="n"/>
    </row>
    <row r="334">
      <c r="A334" s="7" t="inlineStr">
        <is>
          <t>c-1/2-10-i3</t>
        </is>
      </c>
      <c r="B334" s="7" t="inlineStr">
        <is>
          <t>1/2</t>
        </is>
      </c>
      <c r="C334" s="7" t="inlineStr">
        <is>
          <t>c</t>
        </is>
      </c>
      <c r="D334" s="7" t="inlineStr">
        <is>
          <t>c</t>
        </is>
      </c>
      <c r="E334" s="7" t="n">
        <v>10</v>
      </c>
      <c r="F334" s="7" t="n">
        <v>3</v>
      </c>
      <c r="G334" s="8" t="n"/>
      <c r="H334" s="27" t="n"/>
      <c r="I334" s="27" t="n"/>
      <c r="J334" s="8" t="n"/>
      <c r="K334" s="8" t="n"/>
      <c r="L334" s="10" t="n"/>
      <c r="M334" s="8" t="n"/>
      <c r="N334" s="11">
        <f>IF(OR(J334="",H334="",I334=""),"",J334/((I334-H334)*1440))</f>
        <v/>
      </c>
      <c r="O334" s="7" t="n"/>
      <c r="P334" s="7" t="n"/>
      <c r="Q334" s="7" t="n"/>
      <c r="R334" s="12" t="n"/>
      <c r="S334" s="13">
        <f>IF(OR(R334="",J334=""),"",R334/J334-1)</f>
        <v/>
      </c>
      <c r="T334" s="14">
        <f>IF(OR(L334="",R334="",J334=""),"",SQRT(4+(L334^2-4)*(R334/J334)^2))</f>
        <v/>
      </c>
      <c r="U334" s="7" t="n"/>
      <c r="V334" s="7" t="n"/>
    </row>
    <row r="335">
      <c r="A335" s="7" t="inlineStr">
        <is>
          <t>K-3/4-0.5-i1</t>
        </is>
      </c>
      <c r="B335" s="7" t="inlineStr">
        <is>
          <t>3/4</t>
        </is>
      </c>
      <c r="C335" s="7" t="inlineStr">
        <is>
          <t>K</t>
        </is>
      </c>
      <c r="D335" s="7" t="inlineStr">
        <is>
          <t>Copper K</t>
        </is>
      </c>
      <c r="E335" s="7" t="n">
        <v>0.5</v>
      </c>
      <c r="F335" s="7" t="n">
        <v>1</v>
      </c>
      <c r="G335" s="8" t="n"/>
      <c r="H335" s="27" t="n"/>
      <c r="I335" s="27" t="n"/>
      <c r="J335" s="8" t="n"/>
      <c r="K335" s="8" t="n"/>
      <c r="L335" s="10" t="n"/>
      <c r="M335" s="8" t="n"/>
      <c r="N335" s="11">
        <f>IF(OR(J335="",H335="",I335=""),"",J335/((I335-H335)*1440))</f>
        <v/>
      </c>
      <c r="O335" s="7" t="n"/>
      <c r="P335" s="7" t="n"/>
      <c r="Q335" s="7" t="n"/>
      <c r="R335" s="12" t="n"/>
      <c r="S335" s="13">
        <f>IF(OR(R335="",J335=""),"",R335/J335-1)</f>
        <v/>
      </c>
      <c r="T335" s="14">
        <f>IF(OR(L335="",R335="",J335=""),"",SQRT(4+(L335^2-4)*(R335/J335)^2))</f>
        <v/>
      </c>
      <c r="U335" s="7" t="n"/>
      <c r="V335" s="7" t="n"/>
    </row>
    <row r="336">
      <c r="A336" s="7" t="inlineStr">
        <is>
          <t>K-3/4-0.5-i2</t>
        </is>
      </c>
      <c r="B336" s="7" t="inlineStr">
        <is>
          <t>3/4</t>
        </is>
      </c>
      <c r="C336" s="7" t="inlineStr">
        <is>
          <t>K</t>
        </is>
      </c>
      <c r="D336" s="7" t="inlineStr">
        <is>
          <t>Copper K</t>
        </is>
      </c>
      <c r="E336" s="7" t="n">
        <v>0.5</v>
      </c>
      <c r="F336" s="7" t="n">
        <v>2</v>
      </c>
      <c r="G336" s="8" t="n"/>
      <c r="H336" s="27" t="n"/>
      <c r="I336" s="27" t="n"/>
      <c r="J336" s="8" t="n"/>
      <c r="K336" s="8" t="n"/>
      <c r="L336" s="10" t="n"/>
      <c r="M336" s="8" t="n"/>
      <c r="N336" s="11">
        <f>IF(OR(J336="",H336="",I336=""),"",J336/((I336-H336)*1440))</f>
        <v/>
      </c>
      <c r="O336" s="7" t="n"/>
      <c r="P336" s="7" t="n"/>
      <c r="Q336" s="7" t="n"/>
      <c r="R336" s="12" t="n"/>
      <c r="S336" s="13">
        <f>IF(OR(R336="",J336=""),"",R336/J336-1)</f>
        <v/>
      </c>
      <c r="T336" s="14">
        <f>IF(OR(L336="",R336="",J336=""),"",SQRT(4+(L336^2-4)*(R336/J336)^2))</f>
        <v/>
      </c>
      <c r="U336" s="7" t="n"/>
      <c r="V336" s="7" t="n"/>
    </row>
    <row r="337">
      <c r="A337" s="7" t="inlineStr">
        <is>
          <t>K-3/4-0.5-i3</t>
        </is>
      </c>
      <c r="B337" s="7" t="inlineStr">
        <is>
          <t>3/4</t>
        </is>
      </c>
      <c r="C337" s="7" t="inlineStr">
        <is>
          <t>K</t>
        </is>
      </c>
      <c r="D337" s="7" t="inlineStr">
        <is>
          <t>Copper K</t>
        </is>
      </c>
      <c r="E337" s="7" t="n">
        <v>0.5</v>
      </c>
      <c r="F337" s="7" t="n">
        <v>3</v>
      </c>
      <c r="G337" s="8" t="n"/>
      <c r="H337" s="27" t="n"/>
      <c r="I337" s="27" t="n"/>
      <c r="J337" s="8" t="n"/>
      <c r="K337" s="8" t="n"/>
      <c r="L337" s="10" t="n"/>
      <c r="M337" s="8" t="n"/>
      <c r="N337" s="11">
        <f>IF(OR(J337="",H337="",I337=""),"",J337/((I337-H337)*1440))</f>
        <v/>
      </c>
      <c r="O337" s="7" t="n"/>
      <c r="P337" s="7" t="n"/>
      <c r="Q337" s="7" t="n"/>
      <c r="R337" s="12" t="n"/>
      <c r="S337" s="13">
        <f>IF(OR(R337="",J337=""),"",R337/J337-1)</f>
        <v/>
      </c>
      <c r="T337" s="14">
        <f>IF(OR(L337="",R337="",J337=""),"",SQRT(4+(L337^2-4)*(R337/J337)^2))</f>
        <v/>
      </c>
      <c r="U337" s="7" t="n"/>
      <c r="V337" s="7" t="n"/>
    </row>
    <row r="338">
      <c r="A338" s="7" t="inlineStr">
        <is>
          <t>K-3/4-1-i1</t>
        </is>
      </c>
      <c r="B338" s="7" t="inlineStr">
        <is>
          <t>3/4</t>
        </is>
      </c>
      <c r="C338" s="7" t="inlineStr">
        <is>
          <t>K</t>
        </is>
      </c>
      <c r="D338" s="7" t="inlineStr">
        <is>
          <t>Copper K</t>
        </is>
      </c>
      <c r="E338" s="7" t="n">
        <v>1</v>
      </c>
      <c r="F338" s="7" t="n">
        <v>1</v>
      </c>
      <c r="G338" s="8" t="n"/>
      <c r="H338" s="27" t="n"/>
      <c r="I338" s="27" t="n"/>
      <c r="J338" s="8" t="n"/>
      <c r="K338" s="8" t="n"/>
      <c r="L338" s="10" t="n"/>
      <c r="M338" s="8" t="n"/>
      <c r="N338" s="11">
        <f>IF(OR(J338="",H338="",I338=""),"",J338/((I338-H338)*1440))</f>
        <v/>
      </c>
      <c r="O338" s="7" t="n"/>
      <c r="P338" s="7" t="n"/>
      <c r="Q338" s="7" t="n"/>
      <c r="R338" s="12" t="n"/>
      <c r="S338" s="13">
        <f>IF(OR(R338="",J338=""),"",R338/J338-1)</f>
        <v/>
      </c>
      <c r="T338" s="14">
        <f>IF(OR(L338="",R338="",J338=""),"",SQRT(4+(L338^2-4)*(R338/J338)^2))</f>
        <v/>
      </c>
      <c r="U338" s="7" t="n"/>
      <c r="V338" s="7" t="n"/>
    </row>
    <row r="339">
      <c r="A339" s="7" t="inlineStr">
        <is>
          <t>K-3/4-1-i2</t>
        </is>
      </c>
      <c r="B339" s="7" t="inlineStr">
        <is>
          <t>3/4</t>
        </is>
      </c>
      <c r="C339" s="7" t="inlineStr">
        <is>
          <t>K</t>
        </is>
      </c>
      <c r="D339" s="7" t="inlineStr">
        <is>
          <t>Copper K</t>
        </is>
      </c>
      <c r="E339" s="7" t="n">
        <v>1</v>
      </c>
      <c r="F339" s="7" t="n">
        <v>2</v>
      </c>
      <c r="G339" s="8" t="n"/>
      <c r="H339" s="27" t="n"/>
      <c r="I339" s="27" t="n"/>
      <c r="J339" s="8" t="n"/>
      <c r="K339" s="8" t="n"/>
      <c r="L339" s="10" t="n"/>
      <c r="M339" s="8" t="n"/>
      <c r="N339" s="11">
        <f>IF(OR(J339="",H339="",I339=""),"",J339/((I339-H339)*1440))</f>
        <v/>
      </c>
      <c r="O339" s="7" t="n"/>
      <c r="P339" s="7" t="n"/>
      <c r="Q339" s="7" t="n"/>
      <c r="R339" s="12" t="n"/>
      <c r="S339" s="13">
        <f>IF(OR(R339="",J339=""),"",R339/J339-1)</f>
        <v/>
      </c>
      <c r="T339" s="14">
        <f>IF(OR(L339="",R339="",J339=""),"",SQRT(4+(L339^2-4)*(R339/J339)^2))</f>
        <v/>
      </c>
      <c r="U339" s="7" t="n"/>
      <c r="V339" s="7" t="n"/>
    </row>
    <row r="340">
      <c r="A340" s="7" t="inlineStr">
        <is>
          <t>K-3/4-1-i3</t>
        </is>
      </c>
      <c r="B340" s="7" t="inlineStr">
        <is>
          <t>3/4</t>
        </is>
      </c>
      <c r="C340" s="7" t="inlineStr">
        <is>
          <t>K</t>
        </is>
      </c>
      <c r="D340" s="7" t="inlineStr">
        <is>
          <t>Copper K</t>
        </is>
      </c>
      <c r="E340" s="7" t="n">
        <v>1</v>
      </c>
      <c r="F340" s="7" t="n">
        <v>3</v>
      </c>
      <c r="G340" s="8" t="n"/>
      <c r="H340" s="27" t="n"/>
      <c r="I340" s="27" t="n"/>
      <c r="J340" s="8" t="n"/>
      <c r="K340" s="8" t="n"/>
      <c r="L340" s="10" t="n"/>
      <c r="M340" s="8" t="n"/>
      <c r="N340" s="11">
        <f>IF(OR(J340="",H340="",I340=""),"",J340/((I340-H340)*1440))</f>
        <v/>
      </c>
      <c r="O340" s="7" t="n"/>
      <c r="P340" s="7" t="n"/>
      <c r="Q340" s="7" t="n"/>
      <c r="R340" s="12" t="n"/>
      <c r="S340" s="13">
        <f>IF(OR(R340="",J340=""),"",R340/J340-1)</f>
        <v/>
      </c>
      <c r="T340" s="14">
        <f>IF(OR(L340="",R340="",J340=""),"",SQRT(4+(L340^2-4)*(R340/J340)^2))</f>
        <v/>
      </c>
      <c r="U340" s="7" t="n"/>
      <c r="V340" s="7" t="n"/>
    </row>
    <row r="341">
      <c r="A341" s="7" t="inlineStr">
        <is>
          <t>K-3/4-3-i1</t>
        </is>
      </c>
      <c r="B341" s="7" t="inlineStr">
        <is>
          <t>3/4</t>
        </is>
      </c>
      <c r="C341" s="7" t="inlineStr">
        <is>
          <t>K</t>
        </is>
      </c>
      <c r="D341" s="7" t="inlineStr">
        <is>
          <t>Copper K</t>
        </is>
      </c>
      <c r="E341" s="7" t="n">
        <v>3</v>
      </c>
      <c r="F341" s="7" t="n">
        <v>1</v>
      </c>
      <c r="G341" s="8" t="n"/>
      <c r="H341" s="27" t="n"/>
      <c r="I341" s="27" t="n"/>
      <c r="J341" s="8" t="n"/>
      <c r="K341" s="8" t="n"/>
      <c r="L341" s="10" t="n"/>
      <c r="M341" s="8" t="n"/>
      <c r="N341" s="11">
        <f>IF(OR(J341="",H341="",I341=""),"",J341/((I341-H341)*1440))</f>
        <v/>
      </c>
      <c r="O341" s="7" t="n"/>
      <c r="P341" s="7" t="n"/>
      <c r="Q341" s="7" t="n"/>
      <c r="R341" s="12" t="n"/>
      <c r="S341" s="13">
        <f>IF(OR(R341="",J341=""),"",R341/J341-1)</f>
        <v/>
      </c>
      <c r="T341" s="14">
        <f>IF(OR(L341="",R341="",J341=""),"",SQRT(4+(L341^2-4)*(R341/J341)^2))</f>
        <v/>
      </c>
      <c r="U341" s="7" t="n"/>
      <c r="V341" s="7" t="n"/>
    </row>
    <row r="342">
      <c r="A342" s="7" t="inlineStr">
        <is>
          <t>K-3/4-3-i2</t>
        </is>
      </c>
      <c r="B342" s="7" t="inlineStr">
        <is>
          <t>3/4</t>
        </is>
      </c>
      <c r="C342" s="7" t="inlineStr">
        <is>
          <t>K</t>
        </is>
      </c>
      <c r="D342" s="7" t="inlineStr">
        <is>
          <t>Copper K</t>
        </is>
      </c>
      <c r="E342" s="7" t="n">
        <v>3</v>
      </c>
      <c r="F342" s="7" t="n">
        <v>2</v>
      </c>
      <c r="G342" s="8" t="n"/>
      <c r="H342" s="27" t="n"/>
      <c r="I342" s="27" t="n"/>
      <c r="J342" s="8" t="n"/>
      <c r="K342" s="8" t="n"/>
      <c r="L342" s="10" t="n"/>
      <c r="M342" s="8" t="n"/>
      <c r="N342" s="11">
        <f>IF(OR(J342="",H342="",I342=""),"",J342/((I342-H342)*1440))</f>
        <v/>
      </c>
      <c r="O342" s="7" t="n"/>
      <c r="P342" s="7" t="n"/>
      <c r="Q342" s="7" t="n"/>
      <c r="R342" s="12" t="n"/>
      <c r="S342" s="13">
        <f>IF(OR(R342="",J342=""),"",R342/J342-1)</f>
        <v/>
      </c>
      <c r="T342" s="14">
        <f>IF(OR(L342="",R342="",J342=""),"",SQRT(4+(L342^2-4)*(R342/J342)^2))</f>
        <v/>
      </c>
      <c r="U342" s="7" t="n"/>
      <c r="V342" s="7" t="n"/>
    </row>
    <row r="343">
      <c r="A343" s="7" t="inlineStr">
        <is>
          <t>K-3/4-3-i3</t>
        </is>
      </c>
      <c r="B343" s="7" t="inlineStr">
        <is>
          <t>3/4</t>
        </is>
      </c>
      <c r="C343" s="7" t="inlineStr">
        <is>
          <t>K</t>
        </is>
      </c>
      <c r="D343" s="7" t="inlineStr">
        <is>
          <t>Copper K</t>
        </is>
      </c>
      <c r="E343" s="7" t="n">
        <v>3</v>
      </c>
      <c r="F343" s="7" t="n">
        <v>3</v>
      </c>
      <c r="G343" s="8" t="n"/>
      <c r="H343" s="27" t="n"/>
      <c r="I343" s="27" t="n"/>
      <c r="J343" s="8" t="n"/>
      <c r="K343" s="8" t="n"/>
      <c r="L343" s="10" t="n"/>
      <c r="M343" s="8" t="n"/>
      <c r="N343" s="11">
        <f>IF(OR(J343="",H343="",I343=""),"",J343/((I343-H343)*1440))</f>
        <v/>
      </c>
      <c r="O343" s="7" t="n"/>
      <c r="P343" s="7" t="n"/>
      <c r="Q343" s="7" t="n"/>
      <c r="R343" s="12" t="n"/>
      <c r="S343" s="13">
        <f>IF(OR(R343="",J343=""),"",R343/J343-1)</f>
        <v/>
      </c>
      <c r="T343" s="14">
        <f>IF(OR(L343="",R343="",J343=""),"",SQRT(4+(L343^2-4)*(R343/J343)^2))</f>
        <v/>
      </c>
      <c r="U343" s="7" t="n"/>
      <c r="V343" s="7" t="n"/>
    </row>
    <row r="344">
      <c r="A344" s="7" t="inlineStr">
        <is>
          <t>K-3/4-5-i1</t>
        </is>
      </c>
      <c r="B344" s="7" t="inlineStr">
        <is>
          <t>3/4</t>
        </is>
      </c>
      <c r="C344" s="7" t="inlineStr">
        <is>
          <t>K</t>
        </is>
      </c>
      <c r="D344" s="7" t="inlineStr">
        <is>
          <t>Copper K</t>
        </is>
      </c>
      <c r="E344" s="7" t="n">
        <v>5</v>
      </c>
      <c r="F344" s="7" t="n">
        <v>1</v>
      </c>
      <c r="G344" s="8" t="n"/>
      <c r="H344" s="27" t="n"/>
      <c r="I344" s="27" t="n"/>
      <c r="J344" s="8" t="n"/>
      <c r="K344" s="8" t="n"/>
      <c r="L344" s="10" t="n"/>
      <c r="M344" s="8" t="n"/>
      <c r="N344" s="11">
        <f>IF(OR(J344="",H344="",I344=""),"",J344/((I344-H344)*1440))</f>
        <v/>
      </c>
      <c r="O344" s="7" t="n"/>
      <c r="P344" s="7" t="n"/>
      <c r="Q344" s="7" t="n"/>
      <c r="R344" s="12" t="n"/>
      <c r="S344" s="13">
        <f>IF(OR(R344="",J344=""),"",R344/J344-1)</f>
        <v/>
      </c>
      <c r="T344" s="14">
        <f>IF(OR(L344="",R344="",J344=""),"",SQRT(4+(L344^2-4)*(R344/J344)^2))</f>
        <v/>
      </c>
      <c r="U344" s="7" t="n"/>
      <c r="V344" s="7" t="n"/>
    </row>
    <row r="345">
      <c r="A345" s="7" t="inlineStr">
        <is>
          <t>K-3/4-5-i2</t>
        </is>
      </c>
      <c r="B345" s="7" t="inlineStr">
        <is>
          <t>3/4</t>
        </is>
      </c>
      <c r="C345" s="7" t="inlineStr">
        <is>
          <t>K</t>
        </is>
      </c>
      <c r="D345" s="7" t="inlineStr">
        <is>
          <t>Copper K</t>
        </is>
      </c>
      <c r="E345" s="7" t="n">
        <v>5</v>
      </c>
      <c r="F345" s="7" t="n">
        <v>2</v>
      </c>
      <c r="G345" s="8" t="n"/>
      <c r="H345" s="27" t="n"/>
      <c r="I345" s="27" t="n"/>
      <c r="J345" s="8" t="n"/>
      <c r="K345" s="8" t="n"/>
      <c r="L345" s="10" t="n"/>
      <c r="M345" s="8" t="n"/>
      <c r="N345" s="11">
        <f>IF(OR(J345="",H345="",I345=""),"",J345/((I345-H345)*1440))</f>
        <v/>
      </c>
      <c r="O345" s="7" t="n"/>
      <c r="P345" s="7" t="n"/>
      <c r="Q345" s="7" t="n"/>
      <c r="R345" s="12" t="n"/>
      <c r="S345" s="13">
        <f>IF(OR(R345="",J345=""),"",R345/J345-1)</f>
        <v/>
      </c>
      <c r="T345" s="14">
        <f>IF(OR(L345="",R345="",J345=""),"",SQRT(4+(L345^2-4)*(R345/J345)^2))</f>
        <v/>
      </c>
      <c r="U345" s="7" t="n"/>
      <c r="V345" s="7" t="n"/>
    </row>
    <row r="346">
      <c r="A346" s="7" t="inlineStr">
        <is>
          <t>K-3/4-5-i3</t>
        </is>
      </c>
      <c r="B346" s="7" t="inlineStr">
        <is>
          <t>3/4</t>
        </is>
      </c>
      <c r="C346" s="7" t="inlineStr">
        <is>
          <t>K</t>
        </is>
      </c>
      <c r="D346" s="7" t="inlineStr">
        <is>
          <t>Copper K</t>
        </is>
      </c>
      <c r="E346" s="7" t="n">
        <v>5</v>
      </c>
      <c r="F346" s="7" t="n">
        <v>3</v>
      </c>
      <c r="G346" s="8" t="n"/>
      <c r="H346" s="27" t="n"/>
      <c r="I346" s="27" t="n"/>
      <c r="J346" s="8" t="n"/>
      <c r="K346" s="8" t="n"/>
      <c r="L346" s="10" t="n"/>
      <c r="M346" s="8" t="n"/>
      <c r="N346" s="11">
        <f>IF(OR(J346="",H346="",I346=""),"",J346/((I346-H346)*1440))</f>
        <v/>
      </c>
      <c r="O346" s="7" t="n"/>
      <c r="P346" s="7" t="n"/>
      <c r="Q346" s="7" t="n"/>
      <c r="R346" s="12" t="n"/>
      <c r="S346" s="13">
        <f>IF(OR(R346="",J346=""),"",R346/J346-1)</f>
        <v/>
      </c>
      <c r="T346" s="14">
        <f>IF(OR(L346="",R346="",J346=""),"",SQRT(4+(L346^2-4)*(R346/J346)^2))</f>
        <v/>
      </c>
      <c r="U346" s="7" t="n"/>
      <c r="V346" s="7" t="n"/>
    </row>
    <row r="347">
      <c r="A347" s="7" t="inlineStr">
        <is>
          <t>K-3/4-10-i1</t>
        </is>
      </c>
      <c r="B347" s="7" t="inlineStr">
        <is>
          <t>3/4</t>
        </is>
      </c>
      <c r="C347" s="7" t="inlineStr">
        <is>
          <t>K</t>
        </is>
      </c>
      <c r="D347" s="7" t="inlineStr">
        <is>
          <t>Copper K</t>
        </is>
      </c>
      <c r="E347" s="7" t="n">
        <v>10</v>
      </c>
      <c r="F347" s="7" t="n">
        <v>1</v>
      </c>
      <c r="G347" s="8" t="n"/>
      <c r="H347" s="27" t="n"/>
      <c r="I347" s="27" t="n"/>
      <c r="J347" s="8" t="n"/>
      <c r="K347" s="8" t="n"/>
      <c r="L347" s="10" t="n"/>
      <c r="M347" s="8" t="n"/>
      <c r="N347" s="11">
        <f>IF(OR(J347="",H347="",I347=""),"",J347/((I347-H347)*1440))</f>
        <v/>
      </c>
      <c r="O347" s="7" t="n"/>
      <c r="P347" s="7" t="n"/>
      <c r="Q347" s="7" t="n"/>
      <c r="R347" s="12" t="n"/>
      <c r="S347" s="13">
        <f>IF(OR(R347="",J347=""),"",R347/J347-1)</f>
        <v/>
      </c>
      <c r="T347" s="14">
        <f>IF(OR(L347="",R347="",J347=""),"",SQRT(4+(L347^2-4)*(R347/J347)^2))</f>
        <v/>
      </c>
      <c r="U347" s="7" t="n"/>
      <c r="V347" s="7" t="n"/>
    </row>
    <row r="348">
      <c r="A348" s="7" t="inlineStr">
        <is>
          <t>K-3/4-10-i2</t>
        </is>
      </c>
      <c r="B348" s="7" t="inlineStr">
        <is>
          <t>3/4</t>
        </is>
      </c>
      <c r="C348" s="7" t="inlineStr">
        <is>
          <t>K</t>
        </is>
      </c>
      <c r="D348" s="7" t="inlineStr">
        <is>
          <t>Copper K</t>
        </is>
      </c>
      <c r="E348" s="7" t="n">
        <v>10</v>
      </c>
      <c r="F348" s="7" t="n">
        <v>2</v>
      </c>
      <c r="G348" s="8" t="n"/>
      <c r="H348" s="27" t="n"/>
      <c r="I348" s="27" t="n"/>
      <c r="J348" s="8" t="n"/>
      <c r="K348" s="8" t="n"/>
      <c r="L348" s="10" t="n"/>
      <c r="M348" s="8" t="n"/>
      <c r="N348" s="11">
        <f>IF(OR(J348="",H348="",I348=""),"",J348/((I348-H348)*1440))</f>
        <v/>
      </c>
      <c r="O348" s="7" t="n"/>
      <c r="P348" s="7" t="n"/>
      <c r="Q348" s="7" t="n"/>
      <c r="R348" s="12" t="n"/>
      <c r="S348" s="13">
        <f>IF(OR(R348="",J348=""),"",R348/J348-1)</f>
        <v/>
      </c>
      <c r="T348" s="14">
        <f>IF(OR(L348="",R348="",J348=""),"",SQRT(4+(L348^2-4)*(R348/J348)^2))</f>
        <v/>
      </c>
      <c r="U348" s="7" t="n"/>
      <c r="V348" s="7" t="n"/>
    </row>
    <row r="349">
      <c r="A349" s="7" t="inlineStr">
        <is>
          <t>K-3/4-10-i3</t>
        </is>
      </c>
      <c r="B349" s="7" t="inlineStr">
        <is>
          <t>3/4</t>
        </is>
      </c>
      <c r="C349" s="7" t="inlineStr">
        <is>
          <t>K</t>
        </is>
      </c>
      <c r="D349" s="7" t="inlineStr">
        <is>
          <t>Copper K</t>
        </is>
      </c>
      <c r="E349" s="7" t="n">
        <v>10</v>
      </c>
      <c r="F349" s="7" t="n">
        <v>3</v>
      </c>
      <c r="G349" s="8" t="n"/>
      <c r="H349" s="27" t="n"/>
      <c r="I349" s="27" t="n"/>
      <c r="J349" s="8" t="n"/>
      <c r="K349" s="8" t="n"/>
      <c r="L349" s="10" t="n"/>
      <c r="M349" s="8" t="n"/>
      <c r="N349" s="11">
        <f>IF(OR(J349="",H349="",I349=""),"",J349/((I349-H349)*1440))</f>
        <v/>
      </c>
      <c r="O349" s="7" t="n"/>
      <c r="P349" s="7" t="n"/>
      <c r="Q349" s="7" t="n"/>
      <c r="R349" s="12" t="n"/>
      <c r="S349" s="13">
        <f>IF(OR(R349="",J349=""),"",R349/J349-1)</f>
        <v/>
      </c>
      <c r="T349" s="14">
        <f>IF(OR(L349="",R349="",J349=""),"",SQRT(4+(L349^2-4)*(R349/J349)^2))</f>
        <v/>
      </c>
      <c r="U349" s="7" t="n"/>
      <c r="V349" s="7" t="n"/>
    </row>
    <row r="350">
      <c r="A350" s="7" t="inlineStr">
        <is>
          <t>L-3/4-0.5-i1</t>
        </is>
      </c>
      <c r="B350" s="7" t="inlineStr">
        <is>
          <t>3/4</t>
        </is>
      </c>
      <c r="C350" s="7" t="inlineStr">
        <is>
          <t>L</t>
        </is>
      </c>
      <c r="D350" s="7" t="inlineStr">
        <is>
          <t>Copper L</t>
        </is>
      </c>
      <c r="E350" s="7" t="n">
        <v>0.5</v>
      </c>
      <c r="F350" s="7" t="n">
        <v>1</v>
      </c>
      <c r="G350" s="8" t="n"/>
      <c r="H350" s="27" t="n"/>
      <c r="I350" s="27" t="n"/>
      <c r="J350" s="8" t="n"/>
      <c r="K350" s="8" t="n"/>
      <c r="L350" s="10" t="n"/>
      <c r="M350" s="8" t="n"/>
      <c r="N350" s="11">
        <f>IF(OR(J350="",H350="",I350=""),"",J350/((I350-H350)*1440))</f>
        <v/>
      </c>
      <c r="O350" s="7" t="n"/>
      <c r="P350" s="7" t="n"/>
      <c r="Q350" s="7" t="n"/>
      <c r="R350" s="12" t="n"/>
      <c r="S350" s="13">
        <f>IF(OR(R350="",J350=""),"",R350/J350-1)</f>
        <v/>
      </c>
      <c r="T350" s="14">
        <f>IF(OR(L350="",R350="",J350=""),"",SQRT(4+(L350^2-4)*(R350/J350)^2))</f>
        <v/>
      </c>
      <c r="U350" s="7" t="n"/>
      <c r="V350" s="7" t="n"/>
    </row>
    <row r="351">
      <c r="A351" s="7" t="inlineStr">
        <is>
          <t>L-3/4-0.5-i2</t>
        </is>
      </c>
      <c r="B351" s="7" t="inlineStr">
        <is>
          <t>3/4</t>
        </is>
      </c>
      <c r="C351" s="7" t="inlineStr">
        <is>
          <t>L</t>
        </is>
      </c>
      <c r="D351" s="7" t="inlineStr">
        <is>
          <t>Copper L</t>
        </is>
      </c>
      <c r="E351" s="7" t="n">
        <v>0.5</v>
      </c>
      <c r="F351" s="7" t="n">
        <v>2</v>
      </c>
      <c r="G351" s="8" t="n"/>
      <c r="H351" s="27" t="n"/>
      <c r="I351" s="27" t="n"/>
      <c r="J351" s="8" t="n"/>
      <c r="K351" s="8" t="n"/>
      <c r="L351" s="10" t="n"/>
      <c r="M351" s="8" t="n"/>
      <c r="N351" s="11">
        <f>IF(OR(J351="",H351="",I351=""),"",J351/((I351-H351)*1440))</f>
        <v/>
      </c>
      <c r="O351" s="7" t="n"/>
      <c r="P351" s="7" t="n"/>
      <c r="Q351" s="7" t="n"/>
      <c r="R351" s="12" t="n"/>
      <c r="S351" s="13">
        <f>IF(OR(R351="",J351=""),"",R351/J351-1)</f>
        <v/>
      </c>
      <c r="T351" s="14">
        <f>IF(OR(L351="",R351="",J351=""),"",SQRT(4+(L351^2-4)*(R351/J351)^2))</f>
        <v/>
      </c>
      <c r="U351" s="7" t="n"/>
      <c r="V351" s="7" t="n"/>
    </row>
    <row r="352">
      <c r="A352" s="7" t="inlineStr">
        <is>
          <t>L-3/4-0.5-i3</t>
        </is>
      </c>
      <c r="B352" s="7" t="inlineStr">
        <is>
          <t>3/4</t>
        </is>
      </c>
      <c r="C352" s="7" t="inlineStr">
        <is>
          <t>L</t>
        </is>
      </c>
      <c r="D352" s="7" t="inlineStr">
        <is>
          <t>Copper L</t>
        </is>
      </c>
      <c r="E352" s="7" t="n">
        <v>0.5</v>
      </c>
      <c r="F352" s="7" t="n">
        <v>3</v>
      </c>
      <c r="G352" s="8" t="n"/>
      <c r="H352" s="27" t="n"/>
      <c r="I352" s="27" t="n"/>
      <c r="J352" s="8" t="n"/>
      <c r="K352" s="8" t="n"/>
      <c r="L352" s="10" t="n"/>
      <c r="M352" s="8" t="n"/>
      <c r="N352" s="11">
        <f>IF(OR(J352="",H352="",I352=""),"",J352/((I352-H352)*1440))</f>
        <v/>
      </c>
      <c r="O352" s="7" t="n"/>
      <c r="P352" s="7" t="n"/>
      <c r="Q352" s="7" t="n"/>
      <c r="R352" s="12" t="n"/>
      <c r="S352" s="13">
        <f>IF(OR(R352="",J352=""),"",R352/J352-1)</f>
        <v/>
      </c>
      <c r="T352" s="14">
        <f>IF(OR(L352="",R352="",J352=""),"",SQRT(4+(L352^2-4)*(R352/J352)^2))</f>
        <v/>
      </c>
      <c r="U352" s="7" t="n"/>
      <c r="V352" s="7" t="n"/>
    </row>
    <row r="353">
      <c r="A353" s="7" t="inlineStr">
        <is>
          <t>L-3/4-1-i1</t>
        </is>
      </c>
      <c r="B353" s="7" t="inlineStr">
        <is>
          <t>3/4</t>
        </is>
      </c>
      <c r="C353" s="7" t="inlineStr">
        <is>
          <t>L</t>
        </is>
      </c>
      <c r="D353" s="7" t="inlineStr">
        <is>
          <t>Copper L</t>
        </is>
      </c>
      <c r="E353" s="7" t="n">
        <v>1</v>
      </c>
      <c r="F353" s="7" t="n">
        <v>1</v>
      </c>
      <c r="G353" s="8" t="n"/>
      <c r="H353" s="27" t="n"/>
      <c r="I353" s="27" t="n"/>
      <c r="J353" s="8" t="n"/>
      <c r="K353" s="8" t="n"/>
      <c r="L353" s="10" t="n"/>
      <c r="M353" s="8" t="n"/>
      <c r="N353" s="11">
        <f>IF(OR(J353="",H353="",I353=""),"",J353/((I353-H353)*1440))</f>
        <v/>
      </c>
      <c r="O353" s="7" t="n"/>
      <c r="P353" s="7" t="n"/>
      <c r="Q353" s="7" t="n"/>
      <c r="R353" s="12" t="n"/>
      <c r="S353" s="13">
        <f>IF(OR(R353="",J353=""),"",R353/J353-1)</f>
        <v/>
      </c>
      <c r="T353" s="14">
        <f>IF(OR(L353="",R353="",J353=""),"",SQRT(4+(L353^2-4)*(R353/J353)^2))</f>
        <v/>
      </c>
      <c r="U353" s="7" t="n"/>
      <c r="V353" s="7" t="n"/>
    </row>
    <row r="354">
      <c r="A354" s="7" t="inlineStr">
        <is>
          <t>L-3/4-1-i2</t>
        </is>
      </c>
      <c r="B354" s="7" t="inlineStr">
        <is>
          <t>3/4</t>
        </is>
      </c>
      <c r="C354" s="7" t="inlineStr">
        <is>
          <t>L</t>
        </is>
      </c>
      <c r="D354" s="7" t="inlineStr">
        <is>
          <t>Copper L</t>
        </is>
      </c>
      <c r="E354" s="7" t="n">
        <v>1</v>
      </c>
      <c r="F354" s="7" t="n">
        <v>2</v>
      </c>
      <c r="G354" s="8" t="n"/>
      <c r="H354" s="27" t="n"/>
      <c r="I354" s="27" t="n"/>
      <c r="J354" s="8" t="n"/>
      <c r="K354" s="8" t="n"/>
      <c r="L354" s="10" t="n"/>
      <c r="M354" s="8" t="n"/>
      <c r="N354" s="11">
        <f>IF(OR(J354="",H354="",I354=""),"",J354/((I354-H354)*1440))</f>
        <v/>
      </c>
      <c r="O354" s="7" t="n"/>
      <c r="P354" s="7" t="n"/>
      <c r="Q354" s="7" t="n"/>
      <c r="R354" s="12" t="n"/>
      <c r="S354" s="13">
        <f>IF(OR(R354="",J354=""),"",R354/J354-1)</f>
        <v/>
      </c>
      <c r="T354" s="14">
        <f>IF(OR(L354="",R354="",J354=""),"",SQRT(4+(L354^2-4)*(R354/J354)^2))</f>
        <v/>
      </c>
      <c r="U354" s="7" t="n"/>
      <c r="V354" s="7" t="n"/>
    </row>
    <row r="355">
      <c r="A355" s="7" t="inlineStr">
        <is>
          <t>L-3/4-1-i3</t>
        </is>
      </c>
      <c r="B355" s="7" t="inlineStr">
        <is>
          <t>3/4</t>
        </is>
      </c>
      <c r="C355" s="7" t="inlineStr">
        <is>
          <t>L</t>
        </is>
      </c>
      <c r="D355" s="7" t="inlineStr">
        <is>
          <t>Copper L</t>
        </is>
      </c>
      <c r="E355" s="7" t="n">
        <v>1</v>
      </c>
      <c r="F355" s="7" t="n">
        <v>3</v>
      </c>
      <c r="G355" s="8" t="n"/>
      <c r="H355" s="27" t="n"/>
      <c r="I355" s="27" t="n"/>
      <c r="J355" s="8" t="n"/>
      <c r="K355" s="8" t="n"/>
      <c r="L355" s="10" t="n"/>
      <c r="M355" s="8" t="n"/>
      <c r="N355" s="11">
        <f>IF(OR(J355="",H355="",I355=""),"",J355/((I355-H355)*1440))</f>
        <v/>
      </c>
      <c r="O355" s="7" t="n"/>
      <c r="P355" s="7" t="n"/>
      <c r="Q355" s="7" t="n"/>
      <c r="R355" s="12" t="n"/>
      <c r="S355" s="13">
        <f>IF(OR(R355="",J355=""),"",R355/J355-1)</f>
        <v/>
      </c>
      <c r="T355" s="14">
        <f>IF(OR(L355="",R355="",J355=""),"",SQRT(4+(L355^2-4)*(R355/J355)^2))</f>
        <v/>
      </c>
      <c r="U355" s="7" t="n"/>
      <c r="V355" s="7" t="n"/>
    </row>
    <row r="356">
      <c r="A356" s="7" t="inlineStr">
        <is>
          <t>L-3/4-3-i1</t>
        </is>
      </c>
      <c r="B356" s="7" t="inlineStr">
        <is>
          <t>3/4</t>
        </is>
      </c>
      <c r="C356" s="7" t="inlineStr">
        <is>
          <t>L</t>
        </is>
      </c>
      <c r="D356" s="7" t="inlineStr">
        <is>
          <t>Copper L</t>
        </is>
      </c>
      <c r="E356" s="7" t="n">
        <v>3</v>
      </c>
      <c r="F356" s="7" t="n">
        <v>1</v>
      </c>
      <c r="G356" s="8" t="n"/>
      <c r="H356" s="27" t="n"/>
      <c r="I356" s="27" t="n"/>
      <c r="J356" s="8" t="n"/>
      <c r="K356" s="8" t="n"/>
      <c r="L356" s="10" t="n"/>
      <c r="M356" s="8" t="n"/>
      <c r="N356" s="11">
        <f>IF(OR(J356="",H356="",I356=""),"",J356/((I356-H356)*1440))</f>
        <v/>
      </c>
      <c r="O356" s="7" t="n"/>
      <c r="P356" s="7" t="n"/>
      <c r="Q356" s="7" t="n"/>
      <c r="R356" s="12" t="n"/>
      <c r="S356" s="13">
        <f>IF(OR(R356="",J356=""),"",R356/J356-1)</f>
        <v/>
      </c>
      <c r="T356" s="14">
        <f>IF(OR(L356="",R356="",J356=""),"",SQRT(4+(L356^2-4)*(R356/J356)^2))</f>
        <v/>
      </c>
      <c r="U356" s="7" t="n"/>
      <c r="V356" s="7" t="n"/>
    </row>
    <row r="357">
      <c r="A357" s="7" t="inlineStr">
        <is>
          <t>L-3/4-3-i2</t>
        </is>
      </c>
      <c r="B357" s="7" t="inlineStr">
        <is>
          <t>3/4</t>
        </is>
      </c>
      <c r="C357" s="7" t="inlineStr">
        <is>
          <t>L</t>
        </is>
      </c>
      <c r="D357" s="7" t="inlineStr">
        <is>
          <t>Copper L</t>
        </is>
      </c>
      <c r="E357" s="7" t="n">
        <v>3</v>
      </c>
      <c r="F357" s="7" t="n">
        <v>2</v>
      </c>
      <c r="G357" s="8" t="n"/>
      <c r="H357" s="27" t="n"/>
      <c r="I357" s="27" t="n"/>
      <c r="J357" s="8" t="n"/>
      <c r="K357" s="8" t="n"/>
      <c r="L357" s="10" t="n"/>
      <c r="M357" s="8" t="n"/>
      <c r="N357" s="11">
        <f>IF(OR(J357="",H357="",I357=""),"",J357/((I357-H357)*1440))</f>
        <v/>
      </c>
      <c r="O357" s="7" t="n"/>
      <c r="P357" s="7" t="n"/>
      <c r="Q357" s="7" t="n"/>
      <c r="R357" s="12" t="n"/>
      <c r="S357" s="13">
        <f>IF(OR(R357="",J357=""),"",R357/J357-1)</f>
        <v/>
      </c>
      <c r="T357" s="14">
        <f>IF(OR(L357="",R357="",J357=""),"",SQRT(4+(L357^2-4)*(R357/J357)^2))</f>
        <v/>
      </c>
      <c r="U357" s="7" t="n"/>
      <c r="V357" s="7" t="n"/>
    </row>
    <row r="358">
      <c r="A358" s="7" t="inlineStr">
        <is>
          <t>L-3/4-3-i3</t>
        </is>
      </c>
      <c r="B358" s="7" t="inlineStr">
        <is>
          <t>3/4</t>
        </is>
      </c>
      <c r="C358" s="7" t="inlineStr">
        <is>
          <t>L</t>
        </is>
      </c>
      <c r="D358" s="7" t="inlineStr">
        <is>
          <t>Copper L</t>
        </is>
      </c>
      <c r="E358" s="7" t="n">
        <v>3</v>
      </c>
      <c r="F358" s="7" t="n">
        <v>3</v>
      </c>
      <c r="G358" s="8" t="n"/>
      <c r="H358" s="27" t="n"/>
      <c r="I358" s="27" t="n"/>
      <c r="J358" s="8" t="n"/>
      <c r="K358" s="8" t="n"/>
      <c r="L358" s="10" t="n"/>
      <c r="M358" s="8" t="n"/>
      <c r="N358" s="11">
        <f>IF(OR(J358="",H358="",I358=""),"",J358/((I358-H358)*1440))</f>
        <v/>
      </c>
      <c r="O358" s="7" t="n"/>
      <c r="P358" s="7" t="n"/>
      <c r="Q358" s="7" t="n"/>
      <c r="R358" s="12" t="n"/>
      <c r="S358" s="13">
        <f>IF(OR(R358="",J358=""),"",R358/J358-1)</f>
        <v/>
      </c>
      <c r="T358" s="14">
        <f>IF(OR(L358="",R358="",J358=""),"",SQRT(4+(L358^2-4)*(R358/J358)^2))</f>
        <v/>
      </c>
      <c r="U358" s="7" t="n"/>
      <c r="V358" s="7" t="n"/>
    </row>
    <row r="359">
      <c r="A359" s="7" t="inlineStr">
        <is>
          <t>L-3/4-5-i1</t>
        </is>
      </c>
      <c r="B359" s="7" t="inlineStr">
        <is>
          <t>3/4</t>
        </is>
      </c>
      <c r="C359" s="7" t="inlineStr">
        <is>
          <t>L</t>
        </is>
      </c>
      <c r="D359" s="7" t="inlineStr">
        <is>
          <t>Copper L</t>
        </is>
      </c>
      <c r="E359" s="7" t="n">
        <v>5</v>
      </c>
      <c r="F359" s="7" t="n">
        <v>1</v>
      </c>
      <c r="G359" s="8" t="n"/>
      <c r="H359" s="27" t="n"/>
      <c r="I359" s="27" t="n"/>
      <c r="J359" s="8" t="n"/>
      <c r="K359" s="8" t="n"/>
      <c r="L359" s="10" t="n"/>
      <c r="M359" s="8" t="n"/>
      <c r="N359" s="11">
        <f>IF(OR(J359="",H359="",I359=""),"",J359/((I359-H359)*1440))</f>
        <v/>
      </c>
      <c r="O359" s="7" t="n"/>
      <c r="P359" s="7" t="n"/>
      <c r="Q359" s="7" t="n"/>
      <c r="R359" s="12" t="n"/>
      <c r="S359" s="13">
        <f>IF(OR(R359="",J359=""),"",R359/J359-1)</f>
        <v/>
      </c>
      <c r="T359" s="14">
        <f>IF(OR(L359="",R359="",J359=""),"",SQRT(4+(L359^2-4)*(R359/J359)^2))</f>
        <v/>
      </c>
      <c r="U359" s="7" t="n"/>
      <c r="V359" s="7" t="n"/>
    </row>
    <row r="360">
      <c r="A360" s="7" t="inlineStr">
        <is>
          <t>L-3/4-5-i2</t>
        </is>
      </c>
      <c r="B360" s="7" t="inlineStr">
        <is>
          <t>3/4</t>
        </is>
      </c>
      <c r="C360" s="7" t="inlineStr">
        <is>
          <t>L</t>
        </is>
      </c>
      <c r="D360" s="7" t="inlineStr">
        <is>
          <t>Copper L</t>
        </is>
      </c>
      <c r="E360" s="7" t="n">
        <v>5</v>
      </c>
      <c r="F360" s="7" t="n">
        <v>2</v>
      </c>
      <c r="G360" s="8" t="n"/>
      <c r="H360" s="27" t="n"/>
      <c r="I360" s="27" t="n"/>
      <c r="J360" s="8" t="n"/>
      <c r="K360" s="8" t="n"/>
      <c r="L360" s="10" t="n"/>
      <c r="M360" s="8" t="n"/>
      <c r="N360" s="11">
        <f>IF(OR(J360="",H360="",I360=""),"",J360/((I360-H360)*1440))</f>
        <v/>
      </c>
      <c r="O360" s="7" t="n"/>
      <c r="P360" s="7" t="n"/>
      <c r="Q360" s="7" t="n"/>
      <c r="R360" s="12" t="n"/>
      <c r="S360" s="13">
        <f>IF(OR(R360="",J360=""),"",R360/J360-1)</f>
        <v/>
      </c>
      <c r="T360" s="14">
        <f>IF(OR(L360="",R360="",J360=""),"",SQRT(4+(L360^2-4)*(R360/J360)^2))</f>
        <v/>
      </c>
      <c r="U360" s="7" t="n"/>
      <c r="V360" s="7" t="n"/>
    </row>
    <row r="361">
      <c r="A361" s="7" t="inlineStr">
        <is>
          <t>L-3/4-5-i3</t>
        </is>
      </c>
      <c r="B361" s="7" t="inlineStr">
        <is>
          <t>3/4</t>
        </is>
      </c>
      <c r="C361" s="7" t="inlineStr">
        <is>
          <t>L</t>
        </is>
      </c>
      <c r="D361" s="7" t="inlineStr">
        <is>
          <t>Copper L</t>
        </is>
      </c>
      <c r="E361" s="7" t="n">
        <v>5</v>
      </c>
      <c r="F361" s="7" t="n">
        <v>3</v>
      </c>
      <c r="G361" s="8" t="n"/>
      <c r="H361" s="27" t="n"/>
      <c r="I361" s="27" t="n"/>
      <c r="J361" s="8" t="n"/>
      <c r="K361" s="8" t="n"/>
      <c r="L361" s="10" t="n"/>
      <c r="M361" s="8" t="n"/>
      <c r="N361" s="11">
        <f>IF(OR(J361="",H361="",I361=""),"",J361/((I361-H361)*1440))</f>
        <v/>
      </c>
      <c r="O361" s="7" t="n"/>
      <c r="P361" s="7" t="n"/>
      <c r="Q361" s="7" t="n"/>
      <c r="R361" s="12" t="n"/>
      <c r="S361" s="13">
        <f>IF(OR(R361="",J361=""),"",R361/J361-1)</f>
        <v/>
      </c>
      <c r="T361" s="14">
        <f>IF(OR(L361="",R361="",J361=""),"",SQRT(4+(L361^2-4)*(R361/J361)^2))</f>
        <v/>
      </c>
      <c r="U361" s="7" t="n"/>
      <c r="V361" s="7" t="n"/>
    </row>
    <row r="362">
      <c r="A362" s="7" t="inlineStr">
        <is>
          <t>L-3/4-10-i1</t>
        </is>
      </c>
      <c r="B362" s="7" t="inlineStr">
        <is>
          <t>3/4</t>
        </is>
      </c>
      <c r="C362" s="7" t="inlineStr">
        <is>
          <t>L</t>
        </is>
      </c>
      <c r="D362" s="7" t="inlineStr">
        <is>
          <t>Copper L</t>
        </is>
      </c>
      <c r="E362" s="7" t="n">
        <v>10</v>
      </c>
      <c r="F362" s="7" t="n">
        <v>1</v>
      </c>
      <c r="G362" s="8" t="n"/>
      <c r="H362" s="27" t="n"/>
      <c r="I362" s="27" t="n"/>
      <c r="J362" s="8" t="n"/>
      <c r="K362" s="8" t="n"/>
      <c r="L362" s="10" t="n"/>
      <c r="M362" s="8" t="n"/>
      <c r="N362" s="11">
        <f>IF(OR(J362="",H362="",I362=""),"",J362/((I362-H362)*1440))</f>
        <v/>
      </c>
      <c r="O362" s="7" t="n"/>
      <c r="P362" s="7" t="n"/>
      <c r="Q362" s="7" t="n"/>
      <c r="R362" s="12" t="n"/>
      <c r="S362" s="13">
        <f>IF(OR(R362="",J362=""),"",R362/J362-1)</f>
        <v/>
      </c>
      <c r="T362" s="14">
        <f>IF(OR(L362="",R362="",J362=""),"",SQRT(4+(L362^2-4)*(R362/J362)^2))</f>
        <v/>
      </c>
      <c r="U362" s="7" t="n"/>
      <c r="V362" s="7" t="n"/>
    </row>
    <row r="363">
      <c r="A363" s="7" t="inlineStr">
        <is>
          <t>L-3/4-10-i2</t>
        </is>
      </c>
      <c r="B363" s="7" t="inlineStr">
        <is>
          <t>3/4</t>
        </is>
      </c>
      <c r="C363" s="7" t="inlineStr">
        <is>
          <t>L</t>
        </is>
      </c>
      <c r="D363" s="7" t="inlineStr">
        <is>
          <t>Copper L</t>
        </is>
      </c>
      <c r="E363" s="7" t="n">
        <v>10</v>
      </c>
      <c r="F363" s="7" t="n">
        <v>2</v>
      </c>
      <c r="G363" s="8" t="n"/>
      <c r="H363" s="27" t="n"/>
      <c r="I363" s="27" t="n"/>
      <c r="J363" s="8" t="n"/>
      <c r="K363" s="8" t="n"/>
      <c r="L363" s="10" t="n"/>
      <c r="M363" s="8" t="n"/>
      <c r="N363" s="11">
        <f>IF(OR(J363="",H363="",I363=""),"",J363/((I363-H363)*1440))</f>
        <v/>
      </c>
      <c r="O363" s="7" t="n"/>
      <c r="P363" s="7" t="n"/>
      <c r="Q363" s="7" t="n"/>
      <c r="R363" s="12" t="n"/>
      <c r="S363" s="13">
        <f>IF(OR(R363="",J363=""),"",R363/J363-1)</f>
        <v/>
      </c>
      <c r="T363" s="14">
        <f>IF(OR(L363="",R363="",J363=""),"",SQRT(4+(L363^2-4)*(R363/J363)^2))</f>
        <v/>
      </c>
      <c r="U363" s="7" t="n"/>
      <c r="V363" s="7" t="n"/>
    </row>
    <row r="364">
      <c r="A364" s="7" t="inlineStr">
        <is>
          <t>L-3/4-10-i3</t>
        </is>
      </c>
      <c r="B364" s="7" t="inlineStr">
        <is>
          <t>3/4</t>
        </is>
      </c>
      <c r="C364" s="7" t="inlineStr">
        <is>
          <t>L</t>
        </is>
      </c>
      <c r="D364" s="7" t="inlineStr">
        <is>
          <t>Copper L</t>
        </is>
      </c>
      <c r="E364" s="7" t="n">
        <v>10</v>
      </c>
      <c r="F364" s="7" t="n">
        <v>3</v>
      </c>
      <c r="G364" s="8" t="n"/>
      <c r="H364" s="27" t="n"/>
      <c r="I364" s="27" t="n"/>
      <c r="J364" s="8" t="n"/>
      <c r="K364" s="8" t="n"/>
      <c r="L364" s="10" t="n"/>
      <c r="M364" s="8" t="n"/>
      <c r="N364" s="11">
        <f>IF(OR(J364="",H364="",I364=""),"",J364/((I364-H364)*1440))</f>
        <v/>
      </c>
      <c r="O364" s="7" t="n"/>
      <c r="P364" s="7" t="n"/>
      <c r="Q364" s="7" t="n"/>
      <c r="R364" s="12" t="n"/>
      <c r="S364" s="13">
        <f>IF(OR(R364="",J364=""),"",R364/J364-1)</f>
        <v/>
      </c>
      <c r="T364" s="14">
        <f>IF(OR(L364="",R364="",J364=""),"",SQRT(4+(L364^2-4)*(R364/J364)^2))</f>
        <v/>
      </c>
      <c r="U364" s="7" t="n"/>
      <c r="V364" s="7" t="n"/>
    </row>
    <row r="365">
      <c r="A365" s="7" t="inlineStr">
        <is>
          <t>M-3/4-0.5-i1</t>
        </is>
      </c>
      <c r="B365" s="7" t="inlineStr">
        <is>
          <t>3/4</t>
        </is>
      </c>
      <c r="C365" s="7" t="inlineStr">
        <is>
          <t>M</t>
        </is>
      </c>
      <c r="D365" s="7" t="inlineStr">
        <is>
          <t>Copper M</t>
        </is>
      </c>
      <c r="E365" s="7" t="n">
        <v>0.5</v>
      </c>
      <c r="F365" s="7" t="n">
        <v>1</v>
      </c>
      <c r="G365" s="8" t="n"/>
      <c r="H365" s="27" t="n"/>
      <c r="I365" s="27" t="n"/>
      <c r="J365" s="8" t="n"/>
      <c r="K365" s="8" t="n"/>
      <c r="L365" s="10" t="n"/>
      <c r="M365" s="8" t="n"/>
      <c r="N365" s="11">
        <f>IF(OR(J365="",H365="",I365=""),"",J365/((I365-H365)*1440))</f>
        <v/>
      </c>
      <c r="O365" s="7" t="n"/>
      <c r="P365" s="7" t="n"/>
      <c r="Q365" s="7" t="n"/>
      <c r="R365" s="12" t="n"/>
      <c r="S365" s="13">
        <f>IF(OR(R365="",J365=""),"",R365/J365-1)</f>
        <v/>
      </c>
      <c r="T365" s="14">
        <f>IF(OR(L365="",R365="",J365=""),"",SQRT(4+(L365^2-4)*(R365/J365)^2))</f>
        <v/>
      </c>
      <c r="U365" s="7" t="n"/>
      <c r="V365" s="7" t="n"/>
    </row>
    <row r="366">
      <c r="A366" s="7" t="inlineStr">
        <is>
          <t>M-3/4-0.5-i2</t>
        </is>
      </c>
      <c r="B366" s="7" t="inlineStr">
        <is>
          <t>3/4</t>
        </is>
      </c>
      <c r="C366" s="7" t="inlineStr">
        <is>
          <t>M</t>
        </is>
      </c>
      <c r="D366" s="7" t="inlineStr">
        <is>
          <t>Copper M</t>
        </is>
      </c>
      <c r="E366" s="7" t="n">
        <v>0.5</v>
      </c>
      <c r="F366" s="7" t="n">
        <v>2</v>
      </c>
      <c r="G366" s="8" t="n"/>
      <c r="H366" s="27" t="n"/>
      <c r="I366" s="27" t="n"/>
      <c r="J366" s="8" t="n"/>
      <c r="K366" s="8" t="n"/>
      <c r="L366" s="10" t="n"/>
      <c r="M366" s="8" t="n"/>
      <c r="N366" s="11">
        <f>IF(OR(J366="",H366="",I366=""),"",J366/((I366-H366)*1440))</f>
        <v/>
      </c>
      <c r="O366" s="7" t="n"/>
      <c r="P366" s="7" t="n"/>
      <c r="Q366" s="7" t="n"/>
      <c r="R366" s="12" t="n"/>
      <c r="S366" s="13">
        <f>IF(OR(R366="",J366=""),"",R366/J366-1)</f>
        <v/>
      </c>
      <c r="T366" s="14">
        <f>IF(OR(L366="",R366="",J366=""),"",SQRT(4+(L366^2-4)*(R366/J366)^2))</f>
        <v/>
      </c>
      <c r="U366" s="7" t="n"/>
      <c r="V366" s="7" t="n"/>
    </row>
    <row r="367">
      <c r="A367" s="7" t="inlineStr">
        <is>
          <t>M-3/4-0.5-i3</t>
        </is>
      </c>
      <c r="B367" s="7" t="inlineStr">
        <is>
          <t>3/4</t>
        </is>
      </c>
      <c r="C367" s="7" t="inlineStr">
        <is>
          <t>M</t>
        </is>
      </c>
      <c r="D367" s="7" t="inlineStr">
        <is>
          <t>Copper M</t>
        </is>
      </c>
      <c r="E367" s="7" t="n">
        <v>0.5</v>
      </c>
      <c r="F367" s="7" t="n">
        <v>3</v>
      </c>
      <c r="G367" s="8" t="n"/>
      <c r="H367" s="27" t="n"/>
      <c r="I367" s="27" t="n"/>
      <c r="J367" s="8" t="n"/>
      <c r="K367" s="8" t="n"/>
      <c r="L367" s="10" t="n"/>
      <c r="M367" s="8" t="n"/>
      <c r="N367" s="11">
        <f>IF(OR(J367="",H367="",I367=""),"",J367/((I367-H367)*1440))</f>
        <v/>
      </c>
      <c r="O367" s="7" t="n"/>
      <c r="P367" s="7" t="n"/>
      <c r="Q367" s="7" t="n"/>
      <c r="R367" s="12" t="n"/>
      <c r="S367" s="13">
        <f>IF(OR(R367="",J367=""),"",R367/J367-1)</f>
        <v/>
      </c>
      <c r="T367" s="14">
        <f>IF(OR(L367="",R367="",J367=""),"",SQRT(4+(L367^2-4)*(R367/J367)^2))</f>
        <v/>
      </c>
      <c r="U367" s="7" t="n"/>
      <c r="V367" s="7" t="n"/>
    </row>
    <row r="368">
      <c r="A368" s="7" t="inlineStr">
        <is>
          <t>M-3/4-1-i1</t>
        </is>
      </c>
      <c r="B368" s="7" t="inlineStr">
        <is>
          <t>3/4</t>
        </is>
      </c>
      <c r="C368" s="7" t="inlineStr">
        <is>
          <t>M</t>
        </is>
      </c>
      <c r="D368" s="7" t="inlineStr">
        <is>
          <t>Copper M</t>
        </is>
      </c>
      <c r="E368" s="7" t="n">
        <v>1</v>
      </c>
      <c r="F368" s="7" t="n">
        <v>1</v>
      </c>
      <c r="G368" s="8" t="n"/>
      <c r="H368" s="27" t="n"/>
      <c r="I368" s="27" t="n"/>
      <c r="J368" s="8" t="n"/>
      <c r="K368" s="8" t="n"/>
      <c r="L368" s="10" t="n"/>
      <c r="M368" s="8" t="n"/>
      <c r="N368" s="11">
        <f>IF(OR(J368="",H368="",I368=""),"",J368/((I368-H368)*1440))</f>
        <v/>
      </c>
      <c r="O368" s="7" t="n"/>
      <c r="P368" s="7" t="n"/>
      <c r="Q368" s="7" t="n"/>
      <c r="R368" s="12" t="n"/>
      <c r="S368" s="13">
        <f>IF(OR(R368="",J368=""),"",R368/J368-1)</f>
        <v/>
      </c>
      <c r="T368" s="14">
        <f>IF(OR(L368="",R368="",J368=""),"",SQRT(4+(L368^2-4)*(R368/J368)^2))</f>
        <v/>
      </c>
      <c r="U368" s="7" t="n"/>
      <c r="V368" s="7" t="n"/>
    </row>
    <row r="369">
      <c r="A369" s="7" t="inlineStr">
        <is>
          <t>M-3/4-1-i2</t>
        </is>
      </c>
      <c r="B369" s="7" t="inlineStr">
        <is>
          <t>3/4</t>
        </is>
      </c>
      <c r="C369" s="7" t="inlineStr">
        <is>
          <t>M</t>
        </is>
      </c>
      <c r="D369" s="7" t="inlineStr">
        <is>
          <t>Copper M</t>
        </is>
      </c>
      <c r="E369" s="7" t="n">
        <v>1</v>
      </c>
      <c r="F369" s="7" t="n">
        <v>2</v>
      </c>
      <c r="G369" s="8" t="n"/>
      <c r="H369" s="27" t="n"/>
      <c r="I369" s="27" t="n"/>
      <c r="J369" s="8" t="n"/>
      <c r="K369" s="8" t="n"/>
      <c r="L369" s="10" t="n"/>
      <c r="M369" s="8" t="n"/>
      <c r="N369" s="11">
        <f>IF(OR(J369="",H369="",I369=""),"",J369/((I369-H369)*1440))</f>
        <v/>
      </c>
      <c r="O369" s="7" t="n"/>
      <c r="P369" s="7" t="n"/>
      <c r="Q369" s="7" t="n"/>
      <c r="R369" s="12" t="n"/>
      <c r="S369" s="13">
        <f>IF(OR(R369="",J369=""),"",R369/J369-1)</f>
        <v/>
      </c>
      <c r="T369" s="14">
        <f>IF(OR(L369="",R369="",J369=""),"",SQRT(4+(L369^2-4)*(R369/J369)^2))</f>
        <v/>
      </c>
      <c r="U369" s="7" t="n"/>
      <c r="V369" s="7" t="n"/>
    </row>
    <row r="370">
      <c r="A370" s="7" t="inlineStr">
        <is>
          <t>M-3/4-1-i3</t>
        </is>
      </c>
      <c r="B370" s="7" t="inlineStr">
        <is>
          <t>3/4</t>
        </is>
      </c>
      <c r="C370" s="7" t="inlineStr">
        <is>
          <t>M</t>
        </is>
      </c>
      <c r="D370" s="7" t="inlineStr">
        <is>
          <t>Copper M</t>
        </is>
      </c>
      <c r="E370" s="7" t="n">
        <v>1</v>
      </c>
      <c r="F370" s="7" t="n">
        <v>3</v>
      </c>
      <c r="G370" s="8" t="n"/>
      <c r="H370" s="27" t="n"/>
      <c r="I370" s="27" t="n"/>
      <c r="J370" s="8" t="n"/>
      <c r="K370" s="8" t="n"/>
      <c r="L370" s="10" t="n"/>
      <c r="M370" s="8" t="n"/>
      <c r="N370" s="11">
        <f>IF(OR(J370="",H370="",I370=""),"",J370/((I370-H370)*1440))</f>
        <v/>
      </c>
      <c r="O370" s="7" t="n"/>
      <c r="P370" s="7" t="n"/>
      <c r="Q370" s="7" t="n"/>
      <c r="R370" s="12" t="n"/>
      <c r="S370" s="13">
        <f>IF(OR(R370="",J370=""),"",R370/J370-1)</f>
        <v/>
      </c>
      <c r="T370" s="14">
        <f>IF(OR(L370="",R370="",J370=""),"",SQRT(4+(L370^2-4)*(R370/J370)^2))</f>
        <v/>
      </c>
      <c r="U370" s="7" t="n"/>
      <c r="V370" s="7" t="n"/>
    </row>
    <row r="371">
      <c r="A371" s="7" t="inlineStr">
        <is>
          <t>M-3/4-3-i1</t>
        </is>
      </c>
      <c r="B371" s="7" t="inlineStr">
        <is>
          <t>3/4</t>
        </is>
      </c>
      <c r="C371" s="7" t="inlineStr">
        <is>
          <t>M</t>
        </is>
      </c>
      <c r="D371" s="7" t="inlineStr">
        <is>
          <t>Copper M</t>
        </is>
      </c>
      <c r="E371" s="7" t="n">
        <v>3</v>
      </c>
      <c r="F371" s="7" t="n">
        <v>1</v>
      </c>
      <c r="G371" s="8" t="n"/>
      <c r="H371" s="27" t="n"/>
      <c r="I371" s="27" t="n"/>
      <c r="J371" s="8" t="n"/>
      <c r="K371" s="8" t="n"/>
      <c r="L371" s="10" t="n"/>
      <c r="M371" s="8" t="n"/>
      <c r="N371" s="11">
        <f>IF(OR(J371="",H371="",I371=""),"",J371/((I371-H371)*1440))</f>
        <v/>
      </c>
      <c r="O371" s="7" t="n"/>
      <c r="P371" s="7" t="n"/>
      <c r="Q371" s="7" t="n"/>
      <c r="R371" s="12" t="n"/>
      <c r="S371" s="13">
        <f>IF(OR(R371="",J371=""),"",R371/J371-1)</f>
        <v/>
      </c>
      <c r="T371" s="14">
        <f>IF(OR(L371="",R371="",J371=""),"",SQRT(4+(L371^2-4)*(R371/J371)^2))</f>
        <v/>
      </c>
      <c r="U371" s="7" t="n"/>
      <c r="V371" s="7" t="n"/>
    </row>
    <row r="372">
      <c r="A372" s="7" t="inlineStr">
        <is>
          <t>M-3/4-3-i2</t>
        </is>
      </c>
      <c r="B372" s="7" t="inlineStr">
        <is>
          <t>3/4</t>
        </is>
      </c>
      <c r="C372" s="7" t="inlineStr">
        <is>
          <t>M</t>
        </is>
      </c>
      <c r="D372" s="7" t="inlineStr">
        <is>
          <t>Copper M</t>
        </is>
      </c>
      <c r="E372" s="7" t="n">
        <v>3</v>
      </c>
      <c r="F372" s="7" t="n">
        <v>2</v>
      </c>
      <c r="G372" s="8" t="n"/>
      <c r="H372" s="27" t="n"/>
      <c r="I372" s="27" t="n"/>
      <c r="J372" s="8" t="n"/>
      <c r="K372" s="8" t="n"/>
      <c r="L372" s="10" t="n"/>
      <c r="M372" s="8" t="n"/>
      <c r="N372" s="11">
        <f>IF(OR(J372="",H372="",I372=""),"",J372/((I372-H372)*1440))</f>
        <v/>
      </c>
      <c r="O372" s="7" t="n"/>
      <c r="P372" s="7" t="n"/>
      <c r="Q372" s="7" t="n"/>
      <c r="R372" s="12" t="n"/>
      <c r="S372" s="13">
        <f>IF(OR(R372="",J372=""),"",R372/J372-1)</f>
        <v/>
      </c>
      <c r="T372" s="14">
        <f>IF(OR(L372="",R372="",J372=""),"",SQRT(4+(L372^2-4)*(R372/J372)^2))</f>
        <v/>
      </c>
      <c r="U372" s="7" t="n"/>
      <c r="V372" s="7" t="n"/>
    </row>
    <row r="373">
      <c r="A373" s="7" t="inlineStr">
        <is>
          <t>M-3/4-3-i3</t>
        </is>
      </c>
      <c r="B373" s="7" t="inlineStr">
        <is>
          <t>3/4</t>
        </is>
      </c>
      <c r="C373" s="7" t="inlineStr">
        <is>
          <t>M</t>
        </is>
      </c>
      <c r="D373" s="7" t="inlineStr">
        <is>
          <t>Copper M</t>
        </is>
      </c>
      <c r="E373" s="7" t="n">
        <v>3</v>
      </c>
      <c r="F373" s="7" t="n">
        <v>3</v>
      </c>
      <c r="G373" s="8" t="n"/>
      <c r="H373" s="27" t="n"/>
      <c r="I373" s="27" t="n"/>
      <c r="J373" s="8" t="n"/>
      <c r="K373" s="8" t="n"/>
      <c r="L373" s="10" t="n"/>
      <c r="M373" s="8" t="n"/>
      <c r="N373" s="11">
        <f>IF(OR(J373="",H373="",I373=""),"",J373/((I373-H373)*1440))</f>
        <v/>
      </c>
      <c r="O373" s="7" t="n"/>
      <c r="P373" s="7" t="n"/>
      <c r="Q373" s="7" t="n"/>
      <c r="R373" s="12" t="n"/>
      <c r="S373" s="13">
        <f>IF(OR(R373="",J373=""),"",R373/J373-1)</f>
        <v/>
      </c>
      <c r="T373" s="14">
        <f>IF(OR(L373="",R373="",J373=""),"",SQRT(4+(L373^2-4)*(R373/J373)^2))</f>
        <v/>
      </c>
      <c r="U373" s="7" t="n"/>
      <c r="V373" s="7" t="n"/>
    </row>
    <row r="374">
      <c r="A374" s="7" t="inlineStr">
        <is>
          <t>M-3/4-5-i1</t>
        </is>
      </c>
      <c r="B374" s="7" t="inlineStr">
        <is>
          <t>3/4</t>
        </is>
      </c>
      <c r="C374" s="7" t="inlineStr">
        <is>
          <t>M</t>
        </is>
      </c>
      <c r="D374" s="7" t="inlineStr">
        <is>
          <t>Copper M</t>
        </is>
      </c>
      <c r="E374" s="7" t="n">
        <v>5</v>
      </c>
      <c r="F374" s="7" t="n">
        <v>1</v>
      </c>
      <c r="G374" s="8" t="n"/>
      <c r="H374" s="27" t="n"/>
      <c r="I374" s="27" t="n"/>
      <c r="J374" s="8" t="n"/>
      <c r="K374" s="8" t="n"/>
      <c r="L374" s="10" t="n"/>
      <c r="M374" s="8" t="n"/>
      <c r="N374" s="11">
        <f>IF(OR(J374="",H374="",I374=""),"",J374/((I374-H374)*1440))</f>
        <v/>
      </c>
      <c r="O374" s="7" t="n"/>
      <c r="P374" s="7" t="n"/>
      <c r="Q374" s="7" t="n"/>
      <c r="R374" s="12" t="n"/>
      <c r="S374" s="13">
        <f>IF(OR(R374="",J374=""),"",R374/J374-1)</f>
        <v/>
      </c>
      <c r="T374" s="14">
        <f>IF(OR(L374="",R374="",J374=""),"",SQRT(4+(L374^2-4)*(R374/J374)^2))</f>
        <v/>
      </c>
      <c r="U374" s="7" t="n"/>
      <c r="V374" s="7" t="n"/>
    </row>
    <row r="375">
      <c r="A375" s="7" t="inlineStr">
        <is>
          <t>M-3/4-5-i2</t>
        </is>
      </c>
      <c r="B375" s="7" t="inlineStr">
        <is>
          <t>3/4</t>
        </is>
      </c>
      <c r="C375" s="7" t="inlineStr">
        <is>
          <t>M</t>
        </is>
      </c>
      <c r="D375" s="7" t="inlineStr">
        <is>
          <t>Copper M</t>
        </is>
      </c>
      <c r="E375" s="7" t="n">
        <v>5</v>
      </c>
      <c r="F375" s="7" t="n">
        <v>2</v>
      </c>
      <c r="G375" s="8" t="n"/>
      <c r="H375" s="27" t="n"/>
      <c r="I375" s="27" t="n"/>
      <c r="J375" s="8" t="n"/>
      <c r="K375" s="8" t="n"/>
      <c r="L375" s="10" t="n"/>
      <c r="M375" s="8" t="n"/>
      <c r="N375" s="11">
        <f>IF(OR(J375="",H375="",I375=""),"",J375/((I375-H375)*1440))</f>
        <v/>
      </c>
      <c r="O375" s="7" t="n"/>
      <c r="P375" s="7" t="n"/>
      <c r="Q375" s="7" t="n"/>
      <c r="R375" s="12" t="n"/>
      <c r="S375" s="13">
        <f>IF(OR(R375="",J375=""),"",R375/J375-1)</f>
        <v/>
      </c>
      <c r="T375" s="14">
        <f>IF(OR(L375="",R375="",J375=""),"",SQRT(4+(L375^2-4)*(R375/J375)^2))</f>
        <v/>
      </c>
      <c r="U375" s="7" t="n"/>
      <c r="V375" s="7" t="n"/>
    </row>
    <row r="376">
      <c r="A376" s="7" t="inlineStr">
        <is>
          <t>M-3/4-5-i3</t>
        </is>
      </c>
      <c r="B376" s="7" t="inlineStr">
        <is>
          <t>3/4</t>
        </is>
      </c>
      <c r="C376" s="7" t="inlineStr">
        <is>
          <t>M</t>
        </is>
      </c>
      <c r="D376" s="7" t="inlineStr">
        <is>
          <t>Copper M</t>
        </is>
      </c>
      <c r="E376" s="7" t="n">
        <v>5</v>
      </c>
      <c r="F376" s="7" t="n">
        <v>3</v>
      </c>
      <c r="G376" s="8" t="n"/>
      <c r="H376" s="27" t="n"/>
      <c r="I376" s="27" t="n"/>
      <c r="J376" s="8" t="n"/>
      <c r="K376" s="8" t="n"/>
      <c r="L376" s="10" t="n"/>
      <c r="M376" s="8" t="n"/>
      <c r="N376" s="11">
        <f>IF(OR(J376="",H376="",I376=""),"",J376/((I376-H376)*1440))</f>
        <v/>
      </c>
      <c r="O376" s="7" t="n"/>
      <c r="P376" s="7" t="n"/>
      <c r="Q376" s="7" t="n"/>
      <c r="R376" s="12" t="n"/>
      <c r="S376" s="13">
        <f>IF(OR(R376="",J376=""),"",R376/J376-1)</f>
        <v/>
      </c>
      <c r="T376" s="14">
        <f>IF(OR(L376="",R376="",J376=""),"",SQRT(4+(L376^2-4)*(R376/J376)^2))</f>
        <v/>
      </c>
      <c r="U376" s="7" t="n"/>
      <c r="V376" s="7" t="n"/>
    </row>
    <row r="377">
      <c r="A377" s="7" t="inlineStr">
        <is>
          <t>M-3/4-10-i1</t>
        </is>
      </c>
      <c r="B377" s="7" t="inlineStr">
        <is>
          <t>3/4</t>
        </is>
      </c>
      <c r="C377" s="7" t="inlineStr">
        <is>
          <t>M</t>
        </is>
      </c>
      <c r="D377" s="7" t="inlineStr">
        <is>
          <t>Copper M</t>
        </is>
      </c>
      <c r="E377" s="7" t="n">
        <v>10</v>
      </c>
      <c r="F377" s="7" t="n">
        <v>1</v>
      </c>
      <c r="G377" s="8" t="n"/>
      <c r="H377" s="27" t="n"/>
      <c r="I377" s="27" t="n"/>
      <c r="J377" s="8" t="n"/>
      <c r="K377" s="8" t="n"/>
      <c r="L377" s="10" t="n"/>
      <c r="M377" s="8" t="n"/>
      <c r="N377" s="11">
        <f>IF(OR(J377="",H377="",I377=""),"",J377/((I377-H377)*1440))</f>
        <v/>
      </c>
      <c r="O377" s="7" t="n"/>
      <c r="P377" s="7" t="n"/>
      <c r="Q377" s="7" t="n"/>
      <c r="R377" s="12" t="n"/>
      <c r="S377" s="13">
        <f>IF(OR(R377="",J377=""),"",R377/J377-1)</f>
        <v/>
      </c>
      <c r="T377" s="14">
        <f>IF(OR(L377="",R377="",J377=""),"",SQRT(4+(L377^2-4)*(R377/J377)^2))</f>
        <v/>
      </c>
      <c r="U377" s="7" t="n"/>
      <c r="V377" s="7" t="n"/>
    </row>
    <row r="378">
      <c r="A378" s="7" t="inlineStr">
        <is>
          <t>M-3/4-10-i2</t>
        </is>
      </c>
      <c r="B378" s="7" t="inlineStr">
        <is>
          <t>3/4</t>
        </is>
      </c>
      <c r="C378" s="7" t="inlineStr">
        <is>
          <t>M</t>
        </is>
      </c>
      <c r="D378" s="7" t="inlineStr">
        <is>
          <t>Copper M</t>
        </is>
      </c>
      <c r="E378" s="7" t="n">
        <v>10</v>
      </c>
      <c r="F378" s="7" t="n">
        <v>2</v>
      </c>
      <c r="G378" s="8" t="n"/>
      <c r="H378" s="27" t="n"/>
      <c r="I378" s="27" t="n"/>
      <c r="J378" s="8" t="n"/>
      <c r="K378" s="8" t="n"/>
      <c r="L378" s="10" t="n"/>
      <c r="M378" s="8" t="n"/>
      <c r="N378" s="11">
        <f>IF(OR(J378="",H378="",I378=""),"",J378/((I378-H378)*1440))</f>
        <v/>
      </c>
      <c r="O378" s="7" t="n"/>
      <c r="P378" s="7" t="n"/>
      <c r="Q378" s="7" t="n"/>
      <c r="R378" s="12" t="n"/>
      <c r="S378" s="13">
        <f>IF(OR(R378="",J378=""),"",R378/J378-1)</f>
        <v/>
      </c>
      <c r="T378" s="14">
        <f>IF(OR(L378="",R378="",J378=""),"",SQRT(4+(L378^2-4)*(R378/J378)^2))</f>
        <v/>
      </c>
      <c r="U378" s="7" t="n"/>
      <c r="V378" s="7" t="n"/>
    </row>
    <row r="379">
      <c r="A379" s="7" t="inlineStr">
        <is>
          <t>M-3/4-10-i3</t>
        </is>
      </c>
      <c r="B379" s="7" t="inlineStr">
        <is>
          <t>3/4</t>
        </is>
      </c>
      <c r="C379" s="7" t="inlineStr">
        <is>
          <t>M</t>
        </is>
      </c>
      <c r="D379" s="7" t="inlineStr">
        <is>
          <t>Copper M</t>
        </is>
      </c>
      <c r="E379" s="7" t="n">
        <v>10</v>
      </c>
      <c r="F379" s="7" t="n">
        <v>3</v>
      </c>
      <c r="G379" s="8" t="n"/>
      <c r="H379" s="27" t="n"/>
      <c r="I379" s="27" t="n"/>
      <c r="J379" s="8" t="n"/>
      <c r="K379" s="8" t="n"/>
      <c r="L379" s="10" t="n"/>
      <c r="M379" s="8" t="n"/>
      <c r="N379" s="11">
        <f>IF(OR(J379="",H379="",I379=""),"",J379/((I379-H379)*1440))</f>
        <v/>
      </c>
      <c r="O379" s="7" t="n"/>
      <c r="P379" s="7" t="n"/>
      <c r="Q379" s="7" t="n"/>
      <c r="R379" s="12" t="n"/>
      <c r="S379" s="13">
        <f>IF(OR(R379="",J379=""),"",R379/J379-1)</f>
        <v/>
      </c>
      <c r="T379" s="14">
        <f>IF(OR(L379="",R379="",J379=""),"",SQRT(4+(L379^2-4)*(R379/J379)^2))</f>
        <v/>
      </c>
      <c r="U379" s="7" t="n"/>
      <c r="V379" s="7" t="n"/>
    </row>
    <row r="380">
      <c r="A380" s="7" t="inlineStr">
        <is>
          <t>P-3/4-0.5-i1</t>
        </is>
      </c>
      <c r="B380" s="7" t="inlineStr">
        <is>
          <t>3/4</t>
        </is>
      </c>
      <c r="C380" s="7" t="inlineStr">
        <is>
          <t>P</t>
        </is>
      </c>
      <c r="D380" s="7" t="inlineStr">
        <is>
          <t>PVC-40</t>
        </is>
      </c>
      <c r="E380" s="7" t="n">
        <v>0.5</v>
      </c>
      <c r="F380" s="7" t="n">
        <v>1</v>
      </c>
      <c r="G380" s="8" t="inlineStr">
        <is>
          <t>8/9/2026</t>
        </is>
      </c>
      <c r="H380" s="27" t="n">
        <v>0.9416666666666667</v>
      </c>
      <c r="I380" s="27" t="n">
        <v>0.01388888888888889</v>
      </c>
      <c r="J380" s="8" t="n">
        <v>50</v>
      </c>
      <c r="K380" s="8" t="n"/>
      <c r="L380" s="10" t="n">
        <v>2.211</v>
      </c>
      <c r="M380" s="8" t="inlineStr">
        <is>
          <t>50gal marathon; +15.6% fleet (laminar); open-event alarm mid-run @1h (by design, once/day); billing continuity proven (meterVal delta == eventMeterDelta); sets cubic term of k(Re)</t>
        </is>
      </c>
      <c r="N380" s="11">
        <f>IF(OR(J380="",H380="",I380=""),"",J380/((I380-H380)*1440))</f>
        <v/>
      </c>
      <c r="O380" s="7" t="n">
        <v>6</v>
      </c>
      <c r="P380" s="7" t="n">
        <v>1670</v>
      </c>
      <c r="Q380" s="7" t="inlineStr">
        <is>
          <t>100%</t>
        </is>
      </c>
      <c r="R380" s="12" t="n">
        <v>57.79</v>
      </c>
      <c r="S380" s="13">
        <f>IF(OR(R380="",J380=""),"",R380/J380-1)</f>
        <v/>
      </c>
      <c r="T380" s="14">
        <f>IF(OR(L380="",R380="",J380=""),"",SQRT(4+(L380^2-4)*(R380/J380)^2))</f>
        <v/>
      </c>
      <c r="U380" s="7" t="inlineStr">
        <is>
          <t>8/9/2026</t>
        </is>
      </c>
      <c r="V380" s="7" t="inlineStr">
        <is>
          <t>DONE</t>
        </is>
      </c>
    </row>
    <row r="381">
      <c r="A381" s="7" t="inlineStr">
        <is>
          <t>P-3/4-0.5-i2</t>
        </is>
      </c>
      <c r="B381" s="7" t="inlineStr">
        <is>
          <t>3/4</t>
        </is>
      </c>
      <c r="C381" s="7" t="inlineStr">
        <is>
          <t>P</t>
        </is>
      </c>
      <c r="D381" s="7" t="inlineStr">
        <is>
          <t>PVC-40</t>
        </is>
      </c>
      <c r="E381" s="7" t="n">
        <v>0.5</v>
      </c>
      <c r="F381" s="7" t="n">
        <v>2</v>
      </c>
      <c r="G381" s="8" t="n"/>
      <c r="H381" s="27" t="n"/>
      <c r="I381" s="27" t="n"/>
      <c r="J381" s="8" t="n"/>
      <c r="K381" s="8" t="n"/>
      <c r="L381" s="10" t="n"/>
      <c r="M381" s="8" t="n"/>
      <c r="N381" s="11">
        <f>IF(OR(J381="",H381="",I381=""),"",J381/((I381-H381)*1440))</f>
        <v/>
      </c>
      <c r="O381" s="7" t="n"/>
      <c r="P381" s="7" t="n"/>
      <c r="Q381" s="7" t="n"/>
      <c r="R381" s="12" t="n"/>
      <c r="S381" s="13">
        <f>IF(OR(R381="",J381=""),"",R381/J381-1)</f>
        <v/>
      </c>
      <c r="T381" s="14">
        <f>IF(OR(L381="",R381="",J381=""),"",SQRT(4+(L381^2-4)*(R381/J381)^2))</f>
        <v/>
      </c>
      <c r="U381" s="7" t="n"/>
      <c r="V381" s="7" t="n"/>
    </row>
    <row r="382">
      <c r="A382" s="7" t="inlineStr">
        <is>
          <t>P-3/4-0.5-i3</t>
        </is>
      </c>
      <c r="B382" s="7" t="inlineStr">
        <is>
          <t>3/4</t>
        </is>
      </c>
      <c r="C382" s="7" t="inlineStr">
        <is>
          <t>P</t>
        </is>
      </c>
      <c r="D382" s="7" t="inlineStr">
        <is>
          <t>PVC-40</t>
        </is>
      </c>
      <c r="E382" s="7" t="n">
        <v>0.5</v>
      </c>
      <c r="F382" s="7" t="n">
        <v>3</v>
      </c>
      <c r="G382" s="8" t="n"/>
      <c r="H382" s="27" t="n"/>
      <c r="I382" s="27" t="n"/>
      <c r="J382" s="8" t="n"/>
      <c r="K382" s="8" t="n"/>
      <c r="L382" s="10" t="n"/>
      <c r="M382" s="8" t="n"/>
      <c r="N382" s="11">
        <f>IF(OR(J382="",H382="",I382=""),"",J382/((I382-H382)*1440))</f>
        <v/>
      </c>
      <c r="O382" s="7" t="n"/>
      <c r="P382" s="7" t="n"/>
      <c r="Q382" s="7" t="n"/>
      <c r="R382" s="12" t="n"/>
      <c r="S382" s="13">
        <f>IF(OR(R382="",J382=""),"",R382/J382-1)</f>
        <v/>
      </c>
      <c r="T382" s="14">
        <f>IF(OR(L382="",R382="",J382=""),"",SQRT(4+(L382^2-4)*(R382/J382)^2))</f>
        <v/>
      </c>
      <c r="U382" s="7" t="n"/>
      <c r="V382" s="7" t="n"/>
    </row>
    <row r="383">
      <c r="A383" s="7" t="inlineStr">
        <is>
          <t>P-3/4-1-i1</t>
        </is>
      </c>
      <c r="B383" s="7" t="inlineStr">
        <is>
          <t>3/4</t>
        </is>
      </c>
      <c r="C383" s="7" t="inlineStr">
        <is>
          <t>P</t>
        </is>
      </c>
      <c r="D383" s="7" t="inlineStr">
        <is>
          <t>PVC-40</t>
        </is>
      </c>
      <c r="E383" s="7" t="n">
        <v>1</v>
      </c>
      <c r="F383" s="7" t="n">
        <v>1</v>
      </c>
      <c r="G383" s="8" t="inlineStr">
        <is>
          <t>8/8/2026</t>
        </is>
      </c>
      <c r="H383" s="27" t="n">
        <v>0.9493055555555555</v>
      </c>
      <c r="I383" s="27" t="n">
        <v>0.9840277777777777</v>
      </c>
      <c r="J383" s="8" t="n">
        <v>50</v>
      </c>
      <c r="K383" s="8" t="n"/>
      <c r="L383" s="10" t="n">
        <v>2.211</v>
      </c>
      <c r="M383" s="8" t="inlineStr">
        <is>
          <t>50gal transitional Re~3.9k; fleet +6.7%, spread +1.7..+16.8% ('423 outlier); k(Re) anchor</t>
        </is>
      </c>
      <c r="N383" s="11">
        <f>IF(OR(J383="",H383="",I383=""),"",J383/((I383-H383)*1440))</f>
        <v/>
      </c>
      <c r="O383" s="7" t="n">
        <v>6</v>
      </c>
      <c r="P383" s="7" t="n">
        <v>6700</v>
      </c>
      <c r="Q383" s="7" t="inlineStr">
        <is>
          <t>100%</t>
        </is>
      </c>
      <c r="R383" s="12" t="n">
        <v>53.3</v>
      </c>
      <c r="S383" s="13">
        <f>IF(OR(R383="",J383=""),"",R383/J383-1)</f>
        <v/>
      </c>
      <c r="T383" s="14">
        <f>IF(OR(L383="",R383="",J383=""),"",SQRT(4+(L383^2-4)*(R383/J383)^2))</f>
        <v/>
      </c>
      <c r="U383" s="7" t="inlineStr">
        <is>
          <t>8/8/2026</t>
        </is>
      </c>
      <c r="V383" s="7" t="inlineStr">
        <is>
          <t>DONE</t>
        </is>
      </c>
    </row>
    <row r="384">
      <c r="A384" s="7" t="inlineStr">
        <is>
          <t>P-3/4-1-i2</t>
        </is>
      </c>
      <c r="B384" s="7" t="inlineStr">
        <is>
          <t>3/4</t>
        </is>
      </c>
      <c r="C384" s="7" t="inlineStr">
        <is>
          <t>P</t>
        </is>
      </c>
      <c r="D384" s="7" t="inlineStr">
        <is>
          <t>PVC-40</t>
        </is>
      </c>
      <c r="E384" s="7" t="n">
        <v>1</v>
      </c>
      <c r="F384" s="7" t="n">
        <v>2</v>
      </c>
      <c r="G384" s="8" t="n"/>
      <c r="H384" s="27" t="n"/>
      <c r="I384" s="27" t="n"/>
      <c r="J384" s="8" t="n"/>
      <c r="K384" s="8" t="n"/>
      <c r="L384" s="10" t="n"/>
      <c r="M384" s="8" t="n"/>
      <c r="N384" s="11">
        <f>IF(OR(J384="",H384="",I384=""),"",J384/((I384-H384)*1440))</f>
        <v/>
      </c>
      <c r="O384" s="7" t="n"/>
      <c r="P384" s="7" t="n"/>
      <c r="Q384" s="7" t="n"/>
      <c r="R384" s="12" t="n"/>
      <c r="S384" s="13">
        <f>IF(OR(R384="",J384=""),"",R384/J384-1)</f>
        <v/>
      </c>
      <c r="T384" s="14">
        <f>IF(OR(L384="",R384="",J384=""),"",SQRT(4+(L384^2-4)*(R384/J384)^2))</f>
        <v/>
      </c>
      <c r="U384" s="7" t="n"/>
      <c r="V384" s="7" t="n"/>
    </row>
    <row r="385">
      <c r="A385" s="7" t="inlineStr">
        <is>
          <t>P-3/4-1-i3</t>
        </is>
      </c>
      <c r="B385" s="7" t="inlineStr">
        <is>
          <t>3/4</t>
        </is>
      </c>
      <c r="C385" s="7" t="inlineStr">
        <is>
          <t>P</t>
        </is>
      </c>
      <c r="D385" s="7" t="inlineStr">
        <is>
          <t>PVC-40</t>
        </is>
      </c>
      <c r="E385" s="7" t="n">
        <v>1</v>
      </c>
      <c r="F385" s="7" t="n">
        <v>3</v>
      </c>
      <c r="G385" s="8" t="n"/>
      <c r="H385" s="27" t="n"/>
      <c r="I385" s="27" t="n"/>
      <c r="J385" s="8" t="n"/>
      <c r="K385" s="8" t="n"/>
      <c r="L385" s="10" t="n"/>
      <c r="M385" s="8" t="n"/>
      <c r="N385" s="11">
        <f>IF(OR(J385="",H385="",I385=""),"",J385/((I385-H385)*1440))</f>
        <v/>
      </c>
      <c r="O385" s="7" t="n"/>
      <c r="P385" s="7" t="n"/>
      <c r="Q385" s="7" t="n"/>
      <c r="R385" s="12" t="n"/>
      <c r="S385" s="13">
        <f>IF(OR(R385="",J385=""),"",R385/J385-1)</f>
        <v/>
      </c>
      <c r="T385" s="14">
        <f>IF(OR(L385="",R385="",J385=""),"",SQRT(4+(L385^2-4)*(R385/J385)^2))</f>
        <v/>
      </c>
      <c r="U385" s="7" t="n"/>
      <c r="V385" s="7" t="n"/>
    </row>
    <row r="386">
      <c r="A386" s="7" t="inlineStr">
        <is>
          <t>P-3/4-3-i1</t>
        </is>
      </c>
      <c r="B386" s="7" t="inlineStr">
        <is>
          <t>3/4</t>
        </is>
      </c>
      <c r="C386" s="7" t="inlineStr">
        <is>
          <t>P</t>
        </is>
      </c>
      <c r="D386" s="7" t="inlineStr">
        <is>
          <t>PVC-40</t>
        </is>
      </c>
      <c r="E386" s="7" t="n">
        <v>3</v>
      </c>
      <c r="F386" s="7" t="n">
        <v>1</v>
      </c>
      <c r="G386" s="8" t="n"/>
      <c r="H386" s="27" t="n"/>
      <c r="I386" s="27" t="n"/>
      <c r="J386" s="8" t="n"/>
      <c r="K386" s="8" t="n"/>
      <c r="L386" s="10" t="n"/>
      <c r="M386" s="8" t="n"/>
      <c r="N386" s="11">
        <f>IF(OR(J386="",H386="",I386=""),"",J386/((I386-H386)*1440))</f>
        <v/>
      </c>
      <c r="O386" s="7" t="n"/>
      <c r="P386" s="7" t="n"/>
      <c r="Q386" s="7" t="n"/>
      <c r="R386" s="12" t="n"/>
      <c r="S386" s="13">
        <f>IF(OR(R386="",J386=""),"",R386/J386-1)</f>
        <v/>
      </c>
      <c r="T386" s="14">
        <f>IF(OR(L386="",R386="",J386=""),"",SQRT(4+(L386^2-4)*(R386/J386)^2))</f>
        <v/>
      </c>
      <c r="U386" s="7" t="n"/>
      <c r="V386" s="7" t="n"/>
    </row>
    <row r="387">
      <c r="A387" s="7" t="inlineStr">
        <is>
          <t>P-3/4-3-i2</t>
        </is>
      </c>
      <c r="B387" s="7" t="inlineStr">
        <is>
          <t>3/4</t>
        </is>
      </c>
      <c r="C387" s="7" t="inlineStr">
        <is>
          <t>P</t>
        </is>
      </c>
      <c r="D387" s="7" t="inlineStr">
        <is>
          <t>PVC-40</t>
        </is>
      </c>
      <c r="E387" s="7" t="n">
        <v>3</v>
      </c>
      <c r="F387" s="7" t="n">
        <v>2</v>
      </c>
      <c r="G387" s="8" t="n"/>
      <c r="H387" s="27" t="n"/>
      <c r="I387" s="27" t="n"/>
      <c r="J387" s="8" t="n"/>
      <c r="K387" s="8" t="n"/>
      <c r="L387" s="10" t="n"/>
      <c r="M387" s="8" t="n"/>
      <c r="N387" s="11">
        <f>IF(OR(J387="",H387="",I387=""),"",J387/((I387-H387)*1440))</f>
        <v/>
      </c>
      <c r="O387" s="7" t="n"/>
      <c r="P387" s="7" t="n"/>
      <c r="Q387" s="7" t="n"/>
      <c r="R387" s="12" t="n"/>
      <c r="S387" s="13">
        <f>IF(OR(R387="",J387=""),"",R387/J387-1)</f>
        <v/>
      </c>
      <c r="T387" s="14">
        <f>IF(OR(L387="",R387="",J387=""),"",SQRT(4+(L387^2-4)*(R387/J387)^2))</f>
        <v/>
      </c>
      <c r="U387" s="7" t="n"/>
      <c r="V387" s="7" t="n"/>
    </row>
    <row r="388">
      <c r="A388" s="7" t="inlineStr">
        <is>
          <t>P-3/4-3-i3</t>
        </is>
      </c>
      <c r="B388" s="7" t="inlineStr">
        <is>
          <t>3/4</t>
        </is>
      </c>
      <c r="C388" s="7" t="inlineStr">
        <is>
          <t>P</t>
        </is>
      </c>
      <c r="D388" s="7" t="inlineStr">
        <is>
          <t>PVC-40</t>
        </is>
      </c>
      <c r="E388" s="7" t="n">
        <v>3</v>
      </c>
      <c r="F388" s="7" t="n">
        <v>3</v>
      </c>
      <c r="G388" s="8" t="n"/>
      <c r="H388" s="27" t="n"/>
      <c r="I388" s="27" t="n"/>
      <c r="J388" s="8" t="n"/>
      <c r="K388" s="8" t="n"/>
      <c r="L388" s="10" t="n"/>
      <c r="M388" s="8" t="n"/>
      <c r="N388" s="11">
        <f>IF(OR(J388="",H388="",I388=""),"",J388/((I388-H388)*1440))</f>
        <v/>
      </c>
      <c r="O388" s="7" t="n"/>
      <c r="P388" s="7" t="n"/>
      <c r="Q388" s="7" t="n"/>
      <c r="R388" s="12" t="n"/>
      <c r="S388" s="13">
        <f>IF(OR(R388="",J388=""),"",R388/J388-1)</f>
        <v/>
      </c>
      <c r="T388" s="14">
        <f>IF(OR(L388="",R388="",J388=""),"",SQRT(4+(L388^2-4)*(R388/J388)^2))</f>
        <v/>
      </c>
      <c r="U388" s="7" t="n"/>
      <c r="V388" s="7" t="n"/>
    </row>
    <row r="389">
      <c r="A389" s="7" t="inlineStr">
        <is>
          <t>P-3/4-5-i1</t>
        </is>
      </c>
      <c r="B389" s="7" t="inlineStr">
        <is>
          <t>3/4</t>
        </is>
      </c>
      <c r="C389" s="7" t="inlineStr">
        <is>
          <t>P</t>
        </is>
      </c>
      <c r="D389" s="7" t="inlineStr">
        <is>
          <t>PVC-40</t>
        </is>
      </c>
      <c r="E389" s="7" t="n">
        <v>5</v>
      </c>
      <c r="F389" s="7" t="n">
        <v>1</v>
      </c>
      <c r="G389" s="8" t="inlineStr">
        <is>
          <t>8/8/2026</t>
        </is>
      </c>
      <c r="H389" s="27" t="n">
        <v>0.8222222222222222</v>
      </c>
      <c r="I389" s="27" t="n">
        <v>0.8236111111111111</v>
      </c>
      <c r="J389" s="8" t="n">
        <v>10</v>
      </c>
      <c r="K389" s="8" t="n"/>
      <c r="L389" s="10" t="n">
        <v>2.211</v>
      </c>
      <c r="M389" s="8" t="inlineStr">
        <is>
          <t>10gal short run; +1.9% = edge fraction (see i2)</t>
        </is>
      </c>
      <c r="N389" s="11">
        <f>IF(OR(J389="",H389="",I389=""),"",J389/((I389-H389)*1440))</f>
        <v/>
      </c>
      <c r="O389" s="7" t="n">
        <v>6</v>
      </c>
      <c r="P389" s="7" t="n">
        <v>17500</v>
      </c>
      <c r="Q389" s="7" t="inlineStr">
        <is>
          <t>100%</t>
        </is>
      </c>
      <c r="R389" s="12" t="n">
        <v>10.19</v>
      </c>
      <c r="S389" s="13">
        <f>IF(OR(R389="",J389=""),"",R389/J389-1)</f>
        <v/>
      </c>
      <c r="T389" s="14">
        <f>IF(OR(L389="",R389="",J389=""),"",SQRT(4+(L389^2-4)*(R389/J389)^2))</f>
        <v/>
      </c>
      <c r="U389" s="7" t="inlineStr">
        <is>
          <t>8/8/2026</t>
        </is>
      </c>
      <c r="V389" s="7" t="inlineStr">
        <is>
          <t>DONE</t>
        </is>
      </c>
    </row>
    <row r="390">
      <c r="A390" s="7" t="inlineStr">
        <is>
          <t>P-3/4-5-i2</t>
        </is>
      </c>
      <c r="B390" s="7" t="inlineStr">
        <is>
          <t>3/4</t>
        </is>
      </c>
      <c r="C390" s="7" t="inlineStr">
        <is>
          <t>P</t>
        </is>
      </c>
      <c r="D390" s="7" t="inlineStr">
        <is>
          <t>PVC-40</t>
        </is>
      </c>
      <c r="E390" s="7" t="n">
        <v>5</v>
      </c>
      <c r="F390" s="7" t="n">
        <v>2</v>
      </c>
      <c r="G390" s="8" t="inlineStr">
        <is>
          <t>8/8/2026</t>
        </is>
      </c>
      <c r="H390" s="27" t="n">
        <v>0.9395833333333333</v>
      </c>
      <c r="I390" s="27" t="n">
        <v>0.9465277777777777</v>
      </c>
      <c r="J390" s="8" t="n">
        <v>50</v>
      </c>
      <c r="K390" s="8" t="n"/>
      <c r="L390" s="10" t="n">
        <v>2.211</v>
      </c>
      <c r="M390" s="8" t="inlineStr">
        <is>
          <t>50gal; edges diluted; CONFIRMS Lf 2.211 @5gpm</t>
        </is>
      </c>
      <c r="N390" s="11">
        <f>IF(OR(J390="",H390="",I390=""),"",J390/((I390-H390)*1440))</f>
        <v/>
      </c>
      <c r="O390" s="7" t="n">
        <v>6</v>
      </c>
      <c r="P390" s="7" t="n">
        <v>17500</v>
      </c>
      <c r="Q390" s="7" t="inlineStr">
        <is>
          <t>100%</t>
        </is>
      </c>
      <c r="R390" s="12" t="n">
        <v>50.08</v>
      </c>
      <c r="S390" s="13">
        <f>IF(OR(R390="",J390=""),"",R390/J390-1)</f>
        <v/>
      </c>
      <c r="T390" s="14">
        <f>IF(OR(L390="",R390="",J390=""),"",SQRT(4+(L390^2-4)*(R390/J390)^2))</f>
        <v/>
      </c>
      <c r="U390" s="7" t="inlineStr">
        <is>
          <t>8/8/2026</t>
        </is>
      </c>
      <c r="V390" s="7" t="inlineStr">
        <is>
          <t>DONE</t>
        </is>
      </c>
    </row>
    <row r="391">
      <c r="A391" s="7" t="inlineStr">
        <is>
          <t>P-3/4-5-i3</t>
        </is>
      </c>
      <c r="B391" s="7" t="inlineStr">
        <is>
          <t>3/4</t>
        </is>
      </c>
      <c r="C391" s="7" t="inlineStr">
        <is>
          <t>P</t>
        </is>
      </c>
      <c r="D391" s="7" t="inlineStr">
        <is>
          <t>PVC-40</t>
        </is>
      </c>
      <c r="E391" s="7" t="n">
        <v>5</v>
      </c>
      <c r="F391" s="7" t="n">
        <v>3</v>
      </c>
      <c r="G391" s="8" t="n"/>
      <c r="H391" s="27" t="n"/>
      <c r="I391" s="27" t="n"/>
      <c r="J391" s="8" t="n"/>
      <c r="K391" s="8" t="n"/>
      <c r="L391" s="10" t="n"/>
      <c r="M391" s="8" t="n"/>
      <c r="N391" s="11">
        <f>IF(OR(J391="",H391="",I391=""),"",J391/((I391-H391)*1440))</f>
        <v/>
      </c>
      <c r="O391" s="7" t="n"/>
      <c r="P391" s="7" t="n"/>
      <c r="Q391" s="7" t="n"/>
      <c r="R391" s="12" t="n"/>
      <c r="S391" s="13">
        <f>IF(OR(R391="",J391=""),"",R391/J391-1)</f>
        <v/>
      </c>
      <c r="T391" s="14">
        <f>IF(OR(L391="",R391="",J391=""),"",SQRT(4+(L391^2-4)*(R391/J391)^2))</f>
        <v/>
      </c>
      <c r="U391" s="7" t="n"/>
      <c r="V391" s="7" t="n"/>
    </row>
    <row r="392">
      <c r="A392" s="7" t="inlineStr">
        <is>
          <t>P-3/4-10-i1</t>
        </is>
      </c>
      <c r="B392" s="7" t="inlineStr">
        <is>
          <t>3/4</t>
        </is>
      </c>
      <c r="C392" s="7" t="inlineStr">
        <is>
          <t>P</t>
        </is>
      </c>
      <c r="D392" s="7" t="inlineStr">
        <is>
          <t>PVC-40</t>
        </is>
      </c>
      <c r="E392" s="7" t="n">
        <v>10</v>
      </c>
      <c r="F392" s="7" t="n">
        <v>1</v>
      </c>
      <c r="G392" s="8" t="n"/>
      <c r="H392" s="27" t="n"/>
      <c r="I392" s="27" t="n"/>
      <c r="J392" s="8" t="n"/>
      <c r="K392" s="8" t="n"/>
      <c r="L392" s="10" t="n"/>
      <c r="M392" s="8" t="n"/>
      <c r="N392" s="11">
        <f>IF(OR(J392="",H392="",I392=""),"",J392/((I392-H392)*1440))</f>
        <v/>
      </c>
      <c r="O392" s="7" t="n"/>
      <c r="P392" s="7" t="n"/>
      <c r="Q392" s="7" t="n"/>
      <c r="R392" s="12" t="n"/>
      <c r="S392" s="13">
        <f>IF(OR(R392="",J392=""),"",R392/J392-1)</f>
        <v/>
      </c>
      <c r="T392" s="14">
        <f>IF(OR(L392="",R392="",J392=""),"",SQRT(4+(L392^2-4)*(R392/J392)^2))</f>
        <v/>
      </c>
      <c r="U392" s="7" t="n"/>
      <c r="V392" s="7" t="n"/>
    </row>
    <row r="393">
      <c r="A393" s="7" t="inlineStr">
        <is>
          <t>P-3/4-10-i2</t>
        </is>
      </c>
      <c r="B393" s="7" t="inlineStr">
        <is>
          <t>3/4</t>
        </is>
      </c>
      <c r="C393" s="7" t="inlineStr">
        <is>
          <t>P</t>
        </is>
      </c>
      <c r="D393" s="7" t="inlineStr">
        <is>
          <t>PVC-40</t>
        </is>
      </c>
      <c r="E393" s="7" t="n">
        <v>10</v>
      </c>
      <c r="F393" s="7" t="n">
        <v>2</v>
      </c>
      <c r="G393" s="8" t="n"/>
      <c r="H393" s="27" t="n"/>
      <c r="I393" s="27" t="n"/>
      <c r="J393" s="8" t="n"/>
      <c r="K393" s="8" t="n"/>
      <c r="L393" s="10" t="n"/>
      <c r="M393" s="8" t="n"/>
      <c r="N393" s="11">
        <f>IF(OR(J393="",H393="",I393=""),"",J393/((I393-H393)*1440))</f>
        <v/>
      </c>
      <c r="O393" s="7" t="n"/>
      <c r="P393" s="7" t="n"/>
      <c r="Q393" s="7" t="n"/>
      <c r="R393" s="12" t="n"/>
      <c r="S393" s="13">
        <f>IF(OR(R393="",J393=""),"",R393/J393-1)</f>
        <v/>
      </c>
      <c r="T393" s="14">
        <f>IF(OR(L393="",R393="",J393=""),"",SQRT(4+(L393^2-4)*(R393/J393)^2))</f>
        <v/>
      </c>
      <c r="U393" s="7" t="n"/>
      <c r="V393" s="7" t="n"/>
    </row>
    <row r="394">
      <c r="A394" s="7" t="inlineStr">
        <is>
          <t>P-3/4-10-i3</t>
        </is>
      </c>
      <c r="B394" s="7" t="inlineStr">
        <is>
          <t>3/4</t>
        </is>
      </c>
      <c r="C394" s="7" t="inlineStr">
        <is>
          <t>P</t>
        </is>
      </c>
      <c r="D394" s="7" t="inlineStr">
        <is>
          <t>PVC-40</t>
        </is>
      </c>
      <c r="E394" s="7" t="n">
        <v>10</v>
      </c>
      <c r="F394" s="7" t="n">
        <v>3</v>
      </c>
      <c r="G394" s="8" t="n"/>
      <c r="H394" s="27" t="n"/>
      <c r="I394" s="27" t="n"/>
      <c r="J394" s="8" t="n"/>
      <c r="K394" s="8" t="n"/>
      <c r="L394" s="10" t="n"/>
      <c r="M394" s="8" t="n"/>
      <c r="N394" s="11">
        <f>IF(OR(J394="",H394="",I394=""),"",J394/((I394-H394)*1440))</f>
        <v/>
      </c>
      <c r="O394" s="7" t="n"/>
      <c r="P394" s="7" t="n"/>
      <c r="Q394" s="7" t="n"/>
      <c r="R394" s="12" t="n"/>
      <c r="S394" s="13">
        <f>IF(OR(R394="",J394=""),"",R394/J394-1)</f>
        <v/>
      </c>
      <c r="T394" s="14">
        <f>IF(OR(L394="",R394="",J394=""),"",SQRT(4+(L394^2-4)*(R394/J394)^2))</f>
        <v/>
      </c>
      <c r="U394" s="7" t="n"/>
      <c r="V394" s="7" t="n"/>
    </row>
    <row r="395">
      <c r="A395" s="7" t="inlineStr">
        <is>
          <t>X-3/4-0.5-i1</t>
        </is>
      </c>
      <c r="B395" s="7" t="inlineStr">
        <is>
          <t>3/4</t>
        </is>
      </c>
      <c r="C395" s="7" t="inlineStr">
        <is>
          <t>X</t>
        </is>
      </c>
      <c r="D395" s="7" t="inlineStr">
        <is>
          <t>PEX-A</t>
        </is>
      </c>
      <c r="E395" s="7" t="n">
        <v>0.5</v>
      </c>
      <c r="F395" s="7" t="n">
        <v>1</v>
      </c>
      <c r="G395" s="8" t="n"/>
      <c r="H395" s="27" t="n"/>
      <c r="I395" s="27" t="n"/>
      <c r="J395" s="8" t="n"/>
      <c r="K395" s="8" t="n"/>
      <c r="L395" s="10" t="n"/>
      <c r="M395" s="8" t="n"/>
      <c r="N395" s="11">
        <f>IF(OR(J395="",H395="",I395=""),"",J395/((I395-H395)*1440))</f>
        <v/>
      </c>
      <c r="O395" s="7" t="n"/>
      <c r="P395" s="7" t="n"/>
      <c r="Q395" s="7" t="n"/>
      <c r="R395" s="12" t="n"/>
      <c r="S395" s="13">
        <f>IF(OR(R395="",J395=""),"",R395/J395-1)</f>
        <v/>
      </c>
      <c r="T395" s="14">
        <f>IF(OR(L395="",R395="",J395=""),"",SQRT(4+(L395^2-4)*(R395/J395)^2))</f>
        <v/>
      </c>
      <c r="U395" s="7" t="n"/>
      <c r="V395" s="7" t="n"/>
    </row>
    <row r="396">
      <c r="A396" s="7" t="inlineStr">
        <is>
          <t>X-3/4-0.5-i2</t>
        </is>
      </c>
      <c r="B396" s="7" t="inlineStr">
        <is>
          <t>3/4</t>
        </is>
      </c>
      <c r="C396" s="7" t="inlineStr">
        <is>
          <t>X</t>
        </is>
      </c>
      <c r="D396" s="7" t="inlineStr">
        <is>
          <t>PEX-A</t>
        </is>
      </c>
      <c r="E396" s="7" t="n">
        <v>0.5</v>
      </c>
      <c r="F396" s="7" t="n">
        <v>2</v>
      </c>
      <c r="G396" s="8" t="n"/>
      <c r="H396" s="27" t="n"/>
      <c r="I396" s="27" t="n"/>
      <c r="J396" s="8" t="n"/>
      <c r="K396" s="8" t="n"/>
      <c r="L396" s="10" t="n"/>
      <c r="M396" s="8" t="n"/>
      <c r="N396" s="11">
        <f>IF(OR(J396="",H396="",I396=""),"",J396/((I396-H396)*1440))</f>
        <v/>
      </c>
      <c r="O396" s="7" t="n"/>
      <c r="P396" s="7" t="n"/>
      <c r="Q396" s="7" t="n"/>
      <c r="R396" s="12" t="n"/>
      <c r="S396" s="13">
        <f>IF(OR(R396="",J396=""),"",R396/J396-1)</f>
        <v/>
      </c>
      <c r="T396" s="14">
        <f>IF(OR(L396="",R396="",J396=""),"",SQRT(4+(L396^2-4)*(R396/J396)^2))</f>
        <v/>
      </c>
      <c r="U396" s="7" t="n"/>
      <c r="V396" s="7" t="n"/>
    </row>
    <row r="397">
      <c r="A397" s="7" t="inlineStr">
        <is>
          <t>X-3/4-0.5-i3</t>
        </is>
      </c>
      <c r="B397" s="7" t="inlineStr">
        <is>
          <t>3/4</t>
        </is>
      </c>
      <c r="C397" s="7" t="inlineStr">
        <is>
          <t>X</t>
        </is>
      </c>
      <c r="D397" s="7" t="inlineStr">
        <is>
          <t>PEX-A</t>
        </is>
      </c>
      <c r="E397" s="7" t="n">
        <v>0.5</v>
      </c>
      <c r="F397" s="7" t="n">
        <v>3</v>
      </c>
      <c r="G397" s="8" t="n"/>
      <c r="H397" s="27" t="n"/>
      <c r="I397" s="27" t="n"/>
      <c r="J397" s="8" t="n"/>
      <c r="K397" s="8" t="n"/>
      <c r="L397" s="10" t="n"/>
      <c r="M397" s="8" t="n"/>
      <c r="N397" s="11">
        <f>IF(OR(J397="",H397="",I397=""),"",J397/((I397-H397)*1440))</f>
        <v/>
      </c>
      <c r="O397" s="7" t="n"/>
      <c r="P397" s="7" t="n"/>
      <c r="Q397" s="7" t="n"/>
      <c r="R397" s="12" t="n"/>
      <c r="S397" s="13">
        <f>IF(OR(R397="",J397=""),"",R397/J397-1)</f>
        <v/>
      </c>
      <c r="T397" s="14">
        <f>IF(OR(L397="",R397="",J397=""),"",SQRT(4+(L397^2-4)*(R397/J397)^2))</f>
        <v/>
      </c>
      <c r="U397" s="7" t="n"/>
      <c r="V397" s="7" t="n"/>
    </row>
    <row r="398">
      <c r="A398" s="7" t="inlineStr">
        <is>
          <t>X-3/4-1-i1</t>
        </is>
      </c>
      <c r="B398" s="7" t="inlineStr">
        <is>
          <t>3/4</t>
        </is>
      </c>
      <c r="C398" s="7" t="inlineStr">
        <is>
          <t>X</t>
        </is>
      </c>
      <c r="D398" s="7" t="inlineStr">
        <is>
          <t>PEX-A</t>
        </is>
      </c>
      <c r="E398" s="7" t="n">
        <v>1</v>
      </c>
      <c r="F398" s="7" t="n">
        <v>1</v>
      </c>
      <c r="G398" s="8" t="n"/>
      <c r="H398" s="27" t="n"/>
      <c r="I398" s="27" t="n"/>
      <c r="J398" s="8" t="n"/>
      <c r="K398" s="8" t="n"/>
      <c r="L398" s="10" t="n"/>
      <c r="M398" s="8" t="n"/>
      <c r="N398" s="11">
        <f>IF(OR(J398="",H398="",I398=""),"",J398/((I398-H398)*1440))</f>
        <v/>
      </c>
      <c r="O398" s="7" t="n"/>
      <c r="P398" s="7" t="n"/>
      <c r="Q398" s="7" t="n"/>
      <c r="R398" s="12" t="n"/>
      <c r="S398" s="13">
        <f>IF(OR(R398="",J398=""),"",R398/J398-1)</f>
        <v/>
      </c>
      <c r="T398" s="14">
        <f>IF(OR(L398="",R398="",J398=""),"",SQRT(4+(L398^2-4)*(R398/J398)^2))</f>
        <v/>
      </c>
      <c r="U398" s="7" t="n"/>
      <c r="V398" s="7" t="n"/>
    </row>
    <row r="399">
      <c r="A399" s="7" t="inlineStr">
        <is>
          <t>X-3/4-1-i2</t>
        </is>
      </c>
      <c r="B399" s="7" t="inlineStr">
        <is>
          <t>3/4</t>
        </is>
      </c>
      <c r="C399" s="7" t="inlineStr">
        <is>
          <t>X</t>
        </is>
      </c>
      <c r="D399" s="7" t="inlineStr">
        <is>
          <t>PEX-A</t>
        </is>
      </c>
      <c r="E399" s="7" t="n">
        <v>1</v>
      </c>
      <c r="F399" s="7" t="n">
        <v>2</v>
      </c>
      <c r="G399" s="8" t="n"/>
      <c r="H399" s="27" t="n"/>
      <c r="I399" s="27" t="n"/>
      <c r="J399" s="8" t="n"/>
      <c r="K399" s="8" t="n"/>
      <c r="L399" s="10" t="n"/>
      <c r="M399" s="8" t="n"/>
      <c r="N399" s="11">
        <f>IF(OR(J399="",H399="",I399=""),"",J399/((I399-H399)*1440))</f>
        <v/>
      </c>
      <c r="O399" s="7" t="n"/>
      <c r="P399" s="7" t="n"/>
      <c r="Q399" s="7" t="n"/>
      <c r="R399" s="12" t="n"/>
      <c r="S399" s="13">
        <f>IF(OR(R399="",J399=""),"",R399/J399-1)</f>
        <v/>
      </c>
      <c r="T399" s="14">
        <f>IF(OR(L399="",R399="",J399=""),"",SQRT(4+(L399^2-4)*(R399/J399)^2))</f>
        <v/>
      </c>
      <c r="U399" s="7" t="n"/>
      <c r="V399" s="7" t="n"/>
    </row>
    <row r="400">
      <c r="A400" s="7" t="inlineStr">
        <is>
          <t>X-3/4-1-i3</t>
        </is>
      </c>
      <c r="B400" s="7" t="inlineStr">
        <is>
          <t>3/4</t>
        </is>
      </c>
      <c r="C400" s="7" t="inlineStr">
        <is>
          <t>X</t>
        </is>
      </c>
      <c r="D400" s="7" t="inlineStr">
        <is>
          <t>PEX-A</t>
        </is>
      </c>
      <c r="E400" s="7" t="n">
        <v>1</v>
      </c>
      <c r="F400" s="7" t="n">
        <v>3</v>
      </c>
      <c r="G400" s="8" t="n"/>
      <c r="H400" s="27" t="n"/>
      <c r="I400" s="27" t="n"/>
      <c r="J400" s="8" t="n"/>
      <c r="K400" s="8" t="n"/>
      <c r="L400" s="10" t="n"/>
      <c r="M400" s="8" t="n"/>
      <c r="N400" s="11">
        <f>IF(OR(J400="",H400="",I400=""),"",J400/((I400-H400)*1440))</f>
        <v/>
      </c>
      <c r="O400" s="7" t="n"/>
      <c r="P400" s="7" t="n"/>
      <c r="Q400" s="7" t="n"/>
      <c r="R400" s="12" t="n"/>
      <c r="S400" s="13">
        <f>IF(OR(R400="",J400=""),"",R400/J400-1)</f>
        <v/>
      </c>
      <c r="T400" s="14">
        <f>IF(OR(L400="",R400="",J400=""),"",SQRT(4+(L400^2-4)*(R400/J400)^2))</f>
        <v/>
      </c>
      <c r="U400" s="7" t="n"/>
      <c r="V400" s="7" t="n"/>
    </row>
    <row r="401">
      <c r="A401" s="7" t="inlineStr">
        <is>
          <t>X-3/4-3-i1</t>
        </is>
      </c>
      <c r="B401" s="7" t="inlineStr">
        <is>
          <t>3/4</t>
        </is>
      </c>
      <c r="C401" s="7" t="inlineStr">
        <is>
          <t>X</t>
        </is>
      </c>
      <c r="D401" s="7" t="inlineStr">
        <is>
          <t>PEX-A</t>
        </is>
      </c>
      <c r="E401" s="7" t="n">
        <v>3</v>
      </c>
      <c r="F401" s="7" t="n">
        <v>1</v>
      </c>
      <c r="G401" s="8" t="n"/>
      <c r="H401" s="27" t="n"/>
      <c r="I401" s="27" t="n"/>
      <c r="J401" s="8" t="n"/>
      <c r="K401" s="8" t="n"/>
      <c r="L401" s="10" t="n"/>
      <c r="M401" s="8" t="n"/>
      <c r="N401" s="11">
        <f>IF(OR(J401="",H401="",I401=""),"",J401/((I401-H401)*1440))</f>
        <v/>
      </c>
      <c r="O401" s="7" t="n"/>
      <c r="P401" s="7" t="n"/>
      <c r="Q401" s="7" t="n"/>
      <c r="R401" s="12" t="n"/>
      <c r="S401" s="13">
        <f>IF(OR(R401="",J401=""),"",R401/J401-1)</f>
        <v/>
      </c>
      <c r="T401" s="14">
        <f>IF(OR(L401="",R401="",J401=""),"",SQRT(4+(L401^2-4)*(R401/J401)^2))</f>
        <v/>
      </c>
      <c r="U401" s="7" t="n"/>
      <c r="V401" s="7" t="n"/>
    </row>
    <row r="402">
      <c r="A402" s="7" t="inlineStr">
        <is>
          <t>X-3/4-3-i2</t>
        </is>
      </c>
      <c r="B402" s="7" t="inlineStr">
        <is>
          <t>3/4</t>
        </is>
      </c>
      <c r="C402" s="7" t="inlineStr">
        <is>
          <t>X</t>
        </is>
      </c>
      <c r="D402" s="7" t="inlineStr">
        <is>
          <t>PEX-A</t>
        </is>
      </c>
      <c r="E402" s="7" t="n">
        <v>3</v>
      </c>
      <c r="F402" s="7" t="n">
        <v>2</v>
      </c>
      <c r="G402" s="8" t="n"/>
      <c r="H402" s="27" t="n"/>
      <c r="I402" s="27" t="n"/>
      <c r="J402" s="8" t="n"/>
      <c r="K402" s="8" t="n"/>
      <c r="L402" s="10" t="n"/>
      <c r="M402" s="8" t="n"/>
      <c r="N402" s="11">
        <f>IF(OR(J402="",H402="",I402=""),"",J402/((I402-H402)*1440))</f>
        <v/>
      </c>
      <c r="O402" s="7" t="n"/>
      <c r="P402" s="7" t="n"/>
      <c r="Q402" s="7" t="n"/>
      <c r="R402" s="12" t="n"/>
      <c r="S402" s="13">
        <f>IF(OR(R402="",J402=""),"",R402/J402-1)</f>
        <v/>
      </c>
      <c r="T402" s="14">
        <f>IF(OR(L402="",R402="",J402=""),"",SQRT(4+(L402^2-4)*(R402/J402)^2))</f>
        <v/>
      </c>
      <c r="U402" s="7" t="n"/>
      <c r="V402" s="7" t="n"/>
    </row>
    <row r="403">
      <c r="A403" s="7" t="inlineStr">
        <is>
          <t>X-3/4-3-i3</t>
        </is>
      </c>
      <c r="B403" s="7" t="inlineStr">
        <is>
          <t>3/4</t>
        </is>
      </c>
      <c r="C403" s="7" t="inlineStr">
        <is>
          <t>X</t>
        </is>
      </c>
      <c r="D403" s="7" t="inlineStr">
        <is>
          <t>PEX-A</t>
        </is>
      </c>
      <c r="E403" s="7" t="n">
        <v>3</v>
      </c>
      <c r="F403" s="7" t="n">
        <v>3</v>
      </c>
      <c r="G403" s="8" t="n"/>
      <c r="H403" s="27" t="n"/>
      <c r="I403" s="27" t="n"/>
      <c r="J403" s="8" t="n"/>
      <c r="K403" s="8" t="n"/>
      <c r="L403" s="10" t="n"/>
      <c r="M403" s="8" t="n"/>
      <c r="N403" s="11">
        <f>IF(OR(J403="",H403="",I403=""),"",J403/((I403-H403)*1440))</f>
        <v/>
      </c>
      <c r="O403" s="7" t="n"/>
      <c r="P403" s="7" t="n"/>
      <c r="Q403" s="7" t="n"/>
      <c r="R403" s="12" t="n"/>
      <c r="S403" s="13">
        <f>IF(OR(R403="",J403=""),"",R403/J403-1)</f>
        <v/>
      </c>
      <c r="T403" s="14">
        <f>IF(OR(L403="",R403="",J403=""),"",SQRT(4+(L403^2-4)*(R403/J403)^2))</f>
        <v/>
      </c>
      <c r="U403" s="7" t="n"/>
      <c r="V403" s="7" t="n"/>
    </row>
    <row r="404">
      <c r="A404" s="7" t="inlineStr">
        <is>
          <t>X-3/4-5-i1</t>
        </is>
      </c>
      <c r="B404" s="7" t="inlineStr">
        <is>
          <t>3/4</t>
        </is>
      </c>
      <c r="C404" s="7" t="inlineStr">
        <is>
          <t>X</t>
        </is>
      </c>
      <c r="D404" s="7" t="inlineStr">
        <is>
          <t>PEX-A</t>
        </is>
      </c>
      <c r="E404" s="7" t="n">
        <v>5</v>
      </c>
      <c r="F404" s="7" t="n">
        <v>1</v>
      </c>
      <c r="G404" s="8" t="n"/>
      <c r="H404" s="27" t="n"/>
      <c r="I404" s="27" t="n"/>
      <c r="J404" s="8" t="n"/>
      <c r="K404" s="8" t="n"/>
      <c r="L404" s="10" t="n"/>
      <c r="M404" s="8" t="n"/>
      <c r="N404" s="11">
        <f>IF(OR(J404="",H404="",I404=""),"",J404/((I404-H404)*1440))</f>
        <v/>
      </c>
      <c r="O404" s="7" t="n"/>
      <c r="P404" s="7" t="n"/>
      <c r="Q404" s="7" t="n"/>
      <c r="R404" s="12" t="n"/>
      <c r="S404" s="13">
        <f>IF(OR(R404="",J404=""),"",R404/J404-1)</f>
        <v/>
      </c>
      <c r="T404" s="14">
        <f>IF(OR(L404="",R404="",J404=""),"",SQRT(4+(L404^2-4)*(R404/J404)^2))</f>
        <v/>
      </c>
      <c r="U404" s="7" t="n"/>
      <c r="V404" s="7" t="n"/>
    </row>
    <row r="405">
      <c r="A405" s="7" t="inlineStr">
        <is>
          <t>X-3/4-5-i2</t>
        </is>
      </c>
      <c r="B405" s="7" t="inlineStr">
        <is>
          <t>3/4</t>
        </is>
      </c>
      <c r="C405" s="7" t="inlineStr">
        <is>
          <t>X</t>
        </is>
      </c>
      <c r="D405" s="7" t="inlineStr">
        <is>
          <t>PEX-A</t>
        </is>
      </c>
      <c r="E405" s="7" t="n">
        <v>5</v>
      </c>
      <c r="F405" s="7" t="n">
        <v>2</v>
      </c>
      <c r="G405" s="8" t="n"/>
      <c r="H405" s="27" t="n"/>
      <c r="I405" s="27" t="n"/>
      <c r="J405" s="8" t="n"/>
      <c r="K405" s="8" t="n"/>
      <c r="L405" s="10" t="n"/>
      <c r="M405" s="8" t="n"/>
      <c r="N405" s="11">
        <f>IF(OR(J405="",H405="",I405=""),"",J405/((I405-H405)*1440))</f>
        <v/>
      </c>
      <c r="O405" s="7" t="n"/>
      <c r="P405" s="7" t="n"/>
      <c r="Q405" s="7" t="n"/>
      <c r="R405" s="12" t="n"/>
      <c r="S405" s="13">
        <f>IF(OR(R405="",J405=""),"",R405/J405-1)</f>
        <v/>
      </c>
      <c r="T405" s="14">
        <f>IF(OR(L405="",R405="",J405=""),"",SQRT(4+(L405^2-4)*(R405/J405)^2))</f>
        <v/>
      </c>
      <c r="U405" s="7" t="n"/>
      <c r="V405" s="7" t="n"/>
    </row>
    <row r="406">
      <c r="A406" s="7" t="inlineStr">
        <is>
          <t>X-3/4-5-i3</t>
        </is>
      </c>
      <c r="B406" s="7" t="inlineStr">
        <is>
          <t>3/4</t>
        </is>
      </c>
      <c r="C406" s="7" t="inlineStr">
        <is>
          <t>X</t>
        </is>
      </c>
      <c r="D406" s="7" t="inlineStr">
        <is>
          <t>PEX-A</t>
        </is>
      </c>
      <c r="E406" s="7" t="n">
        <v>5</v>
      </c>
      <c r="F406" s="7" t="n">
        <v>3</v>
      </c>
      <c r="G406" s="8" t="n"/>
      <c r="H406" s="27" t="n"/>
      <c r="I406" s="27" t="n"/>
      <c r="J406" s="8" t="n"/>
      <c r="K406" s="8" t="n"/>
      <c r="L406" s="10" t="n"/>
      <c r="M406" s="8" t="n"/>
      <c r="N406" s="11">
        <f>IF(OR(J406="",H406="",I406=""),"",J406/((I406-H406)*1440))</f>
        <v/>
      </c>
      <c r="O406" s="7" t="n"/>
      <c r="P406" s="7" t="n"/>
      <c r="Q406" s="7" t="n"/>
      <c r="R406" s="12" t="n"/>
      <c r="S406" s="13">
        <f>IF(OR(R406="",J406=""),"",R406/J406-1)</f>
        <v/>
      </c>
      <c r="T406" s="14">
        <f>IF(OR(L406="",R406="",J406=""),"",SQRT(4+(L406^2-4)*(R406/J406)^2))</f>
        <v/>
      </c>
      <c r="U406" s="7" t="n"/>
      <c r="V406" s="7" t="n"/>
    </row>
    <row r="407">
      <c r="A407" s="7" t="inlineStr">
        <is>
          <t>X-3/4-10-i1</t>
        </is>
      </c>
      <c r="B407" s="7" t="inlineStr">
        <is>
          <t>3/4</t>
        </is>
      </c>
      <c r="C407" s="7" t="inlineStr">
        <is>
          <t>X</t>
        </is>
      </c>
      <c r="D407" s="7" t="inlineStr">
        <is>
          <t>PEX-A</t>
        </is>
      </c>
      <c r="E407" s="7" t="n">
        <v>10</v>
      </c>
      <c r="F407" s="7" t="n">
        <v>1</v>
      </c>
      <c r="G407" s="8" t="n"/>
      <c r="H407" s="27" t="n"/>
      <c r="I407" s="27" t="n"/>
      <c r="J407" s="8" t="n"/>
      <c r="K407" s="8" t="n"/>
      <c r="L407" s="10" t="n"/>
      <c r="M407" s="8" t="n"/>
      <c r="N407" s="11">
        <f>IF(OR(J407="",H407="",I407=""),"",J407/((I407-H407)*1440))</f>
        <v/>
      </c>
      <c r="O407" s="7" t="n"/>
      <c r="P407" s="7" t="n"/>
      <c r="Q407" s="7" t="n"/>
      <c r="R407" s="12" t="n"/>
      <c r="S407" s="13">
        <f>IF(OR(R407="",J407=""),"",R407/J407-1)</f>
        <v/>
      </c>
      <c r="T407" s="14">
        <f>IF(OR(L407="",R407="",J407=""),"",SQRT(4+(L407^2-4)*(R407/J407)^2))</f>
        <v/>
      </c>
      <c r="U407" s="7" t="n"/>
      <c r="V407" s="7" t="n"/>
    </row>
    <row r="408">
      <c r="A408" s="7" t="inlineStr">
        <is>
          <t>X-3/4-10-i2</t>
        </is>
      </c>
      <c r="B408" s="7" t="inlineStr">
        <is>
          <t>3/4</t>
        </is>
      </c>
      <c r="C408" s="7" t="inlineStr">
        <is>
          <t>X</t>
        </is>
      </c>
      <c r="D408" s="7" t="inlineStr">
        <is>
          <t>PEX-A</t>
        </is>
      </c>
      <c r="E408" s="7" t="n">
        <v>10</v>
      </c>
      <c r="F408" s="7" t="n">
        <v>2</v>
      </c>
      <c r="G408" s="8" t="n"/>
      <c r="H408" s="27" t="n"/>
      <c r="I408" s="27" t="n"/>
      <c r="J408" s="8" t="n"/>
      <c r="K408" s="8" t="n"/>
      <c r="L408" s="10" t="n"/>
      <c r="M408" s="8" t="n"/>
      <c r="N408" s="11">
        <f>IF(OR(J408="",H408="",I408=""),"",J408/((I408-H408)*1440))</f>
        <v/>
      </c>
      <c r="O408" s="7" t="n"/>
      <c r="P408" s="7" t="n"/>
      <c r="Q408" s="7" t="n"/>
      <c r="R408" s="12" t="n"/>
      <c r="S408" s="13">
        <f>IF(OR(R408="",J408=""),"",R408/J408-1)</f>
        <v/>
      </c>
      <c r="T408" s="14">
        <f>IF(OR(L408="",R408="",J408=""),"",SQRT(4+(L408^2-4)*(R408/J408)^2))</f>
        <v/>
      </c>
      <c r="U408" s="7" t="n"/>
      <c r="V408" s="7" t="n"/>
    </row>
    <row r="409">
      <c r="A409" s="7" t="inlineStr">
        <is>
          <t>X-3/4-10-i3</t>
        </is>
      </c>
      <c r="B409" s="7" t="inlineStr">
        <is>
          <t>3/4</t>
        </is>
      </c>
      <c r="C409" s="7" t="inlineStr">
        <is>
          <t>X</t>
        </is>
      </c>
      <c r="D409" s="7" t="inlineStr">
        <is>
          <t>PEX-A</t>
        </is>
      </c>
      <c r="E409" s="7" t="n">
        <v>10</v>
      </c>
      <c r="F409" s="7" t="n">
        <v>3</v>
      </c>
      <c r="G409" s="8" t="n"/>
      <c r="H409" s="27" t="n"/>
      <c r="I409" s="27" t="n"/>
      <c r="J409" s="8" t="n"/>
      <c r="K409" s="8" t="n"/>
      <c r="L409" s="10" t="n"/>
      <c r="M409" s="8" t="n"/>
      <c r="N409" s="11">
        <f>IF(OR(J409="",H409="",I409=""),"",J409/((I409-H409)*1440))</f>
        <v/>
      </c>
      <c r="O409" s="7" t="n"/>
      <c r="P409" s="7" t="n"/>
      <c r="Q409" s="7" t="n"/>
      <c r="R409" s="12" t="n"/>
      <c r="S409" s="13">
        <f>IF(OR(R409="",J409=""),"",R409/J409-1)</f>
        <v/>
      </c>
      <c r="T409" s="14">
        <f>IF(OR(L409="",R409="",J409=""),"",SQRT(4+(L409^2-4)*(R409/J409)^2))</f>
        <v/>
      </c>
      <c r="U409" s="7" t="n"/>
      <c r="V409" s="7" t="n"/>
    </row>
    <row r="410">
      <c r="A410" s="7" t="inlineStr">
        <is>
          <t>p-3/4-0.5-i1</t>
        </is>
      </c>
      <c r="B410" s="7" t="inlineStr">
        <is>
          <t>3/4</t>
        </is>
      </c>
      <c r="C410" s="7" t="inlineStr">
        <is>
          <t>p</t>
        </is>
      </c>
      <c r="D410" s="7" t="inlineStr">
        <is>
          <t>PVC-80</t>
        </is>
      </c>
      <c r="E410" s="7" t="n">
        <v>0.5</v>
      </c>
      <c r="F410" s="7" t="n">
        <v>1</v>
      </c>
      <c r="G410" s="8" t="n"/>
      <c r="H410" s="27" t="n"/>
      <c r="I410" s="27" t="n"/>
      <c r="J410" s="8" t="n"/>
      <c r="K410" s="8" t="n"/>
      <c r="L410" s="10" t="n"/>
      <c r="M410" s="8" t="n"/>
      <c r="N410" s="11">
        <f>IF(OR(J410="",H410="",I410=""),"",J410/((I410-H410)*1440))</f>
        <v/>
      </c>
      <c r="O410" s="7" t="n"/>
      <c r="P410" s="7" t="n"/>
      <c r="Q410" s="7" t="n"/>
      <c r="R410" s="12" t="n"/>
      <c r="S410" s="13">
        <f>IF(OR(R410="",J410=""),"",R410/J410-1)</f>
        <v/>
      </c>
      <c r="T410" s="14">
        <f>IF(OR(L410="",R410="",J410=""),"",SQRT(4+(L410^2-4)*(R410/J410)^2))</f>
        <v/>
      </c>
      <c r="U410" s="7" t="n"/>
      <c r="V410" s="7" t="n"/>
    </row>
    <row r="411">
      <c r="A411" s="7" t="inlineStr">
        <is>
          <t>p-3/4-0.5-i2</t>
        </is>
      </c>
      <c r="B411" s="7" t="inlineStr">
        <is>
          <t>3/4</t>
        </is>
      </c>
      <c r="C411" s="7" t="inlineStr">
        <is>
          <t>p</t>
        </is>
      </c>
      <c r="D411" s="7" t="inlineStr">
        <is>
          <t>PVC-80</t>
        </is>
      </c>
      <c r="E411" s="7" t="n">
        <v>0.5</v>
      </c>
      <c r="F411" s="7" t="n">
        <v>2</v>
      </c>
      <c r="G411" s="8" t="n"/>
      <c r="H411" s="27" t="n"/>
      <c r="I411" s="27" t="n"/>
      <c r="J411" s="8" t="n"/>
      <c r="K411" s="8" t="n"/>
      <c r="L411" s="10" t="n"/>
      <c r="M411" s="8" t="n"/>
      <c r="N411" s="11">
        <f>IF(OR(J411="",H411="",I411=""),"",J411/((I411-H411)*1440))</f>
        <v/>
      </c>
      <c r="O411" s="7" t="n"/>
      <c r="P411" s="7" t="n"/>
      <c r="Q411" s="7" t="n"/>
      <c r="R411" s="12" t="n"/>
      <c r="S411" s="13">
        <f>IF(OR(R411="",J411=""),"",R411/J411-1)</f>
        <v/>
      </c>
      <c r="T411" s="14">
        <f>IF(OR(L411="",R411="",J411=""),"",SQRT(4+(L411^2-4)*(R411/J411)^2))</f>
        <v/>
      </c>
      <c r="U411" s="7" t="n"/>
      <c r="V411" s="7" t="n"/>
    </row>
    <row r="412">
      <c r="A412" s="7" t="inlineStr">
        <is>
          <t>p-3/4-0.5-i3</t>
        </is>
      </c>
      <c r="B412" s="7" t="inlineStr">
        <is>
          <t>3/4</t>
        </is>
      </c>
      <c r="C412" s="7" t="inlineStr">
        <is>
          <t>p</t>
        </is>
      </c>
      <c r="D412" s="7" t="inlineStr">
        <is>
          <t>PVC-80</t>
        </is>
      </c>
      <c r="E412" s="7" t="n">
        <v>0.5</v>
      </c>
      <c r="F412" s="7" t="n">
        <v>3</v>
      </c>
      <c r="G412" s="8" t="n"/>
      <c r="H412" s="27" t="n"/>
      <c r="I412" s="27" t="n"/>
      <c r="J412" s="8" t="n"/>
      <c r="K412" s="8" t="n"/>
      <c r="L412" s="10" t="n"/>
      <c r="M412" s="8" t="n"/>
      <c r="N412" s="11">
        <f>IF(OR(J412="",H412="",I412=""),"",J412/((I412-H412)*1440))</f>
        <v/>
      </c>
      <c r="O412" s="7" t="n"/>
      <c r="P412" s="7" t="n"/>
      <c r="Q412" s="7" t="n"/>
      <c r="R412" s="12" t="n"/>
      <c r="S412" s="13">
        <f>IF(OR(R412="",J412=""),"",R412/J412-1)</f>
        <v/>
      </c>
      <c r="T412" s="14">
        <f>IF(OR(L412="",R412="",J412=""),"",SQRT(4+(L412^2-4)*(R412/J412)^2))</f>
        <v/>
      </c>
      <c r="U412" s="7" t="n"/>
      <c r="V412" s="7" t="n"/>
    </row>
    <row r="413">
      <c r="A413" s="7" t="inlineStr">
        <is>
          <t>p-3/4-1-i1</t>
        </is>
      </c>
      <c r="B413" s="7" t="inlineStr">
        <is>
          <t>3/4</t>
        </is>
      </c>
      <c r="C413" s="7" t="inlineStr">
        <is>
          <t>p</t>
        </is>
      </c>
      <c r="D413" s="7" t="inlineStr">
        <is>
          <t>PVC-80</t>
        </is>
      </c>
      <c r="E413" s="7" t="n">
        <v>1</v>
      </c>
      <c r="F413" s="7" t="n">
        <v>1</v>
      </c>
      <c r="G413" s="8" t="n"/>
      <c r="H413" s="27" t="n"/>
      <c r="I413" s="27" t="n"/>
      <c r="J413" s="8" t="n"/>
      <c r="K413" s="8" t="n"/>
      <c r="L413" s="10" t="n"/>
      <c r="M413" s="8" t="n"/>
      <c r="N413" s="11">
        <f>IF(OR(J413="",H413="",I413=""),"",J413/((I413-H413)*1440))</f>
        <v/>
      </c>
      <c r="O413" s="7" t="n"/>
      <c r="P413" s="7" t="n"/>
      <c r="Q413" s="7" t="n"/>
      <c r="R413" s="12" t="n"/>
      <c r="S413" s="13">
        <f>IF(OR(R413="",J413=""),"",R413/J413-1)</f>
        <v/>
      </c>
      <c r="T413" s="14">
        <f>IF(OR(L413="",R413="",J413=""),"",SQRT(4+(L413^2-4)*(R413/J413)^2))</f>
        <v/>
      </c>
      <c r="U413" s="7" t="n"/>
      <c r="V413" s="7" t="n"/>
    </row>
    <row r="414">
      <c r="A414" s="7" t="inlineStr">
        <is>
          <t>p-3/4-1-i2</t>
        </is>
      </c>
      <c r="B414" s="7" t="inlineStr">
        <is>
          <t>3/4</t>
        </is>
      </c>
      <c r="C414" s="7" t="inlineStr">
        <is>
          <t>p</t>
        </is>
      </c>
      <c r="D414" s="7" t="inlineStr">
        <is>
          <t>PVC-80</t>
        </is>
      </c>
      <c r="E414" s="7" t="n">
        <v>1</v>
      </c>
      <c r="F414" s="7" t="n">
        <v>2</v>
      </c>
      <c r="G414" s="8" t="n"/>
      <c r="H414" s="27" t="n"/>
      <c r="I414" s="27" t="n"/>
      <c r="J414" s="8" t="n"/>
      <c r="K414" s="8" t="n"/>
      <c r="L414" s="10" t="n"/>
      <c r="M414" s="8" t="n"/>
      <c r="N414" s="11">
        <f>IF(OR(J414="",H414="",I414=""),"",J414/((I414-H414)*1440))</f>
        <v/>
      </c>
      <c r="O414" s="7" t="n"/>
      <c r="P414" s="7" t="n"/>
      <c r="Q414" s="7" t="n"/>
      <c r="R414" s="12" t="n"/>
      <c r="S414" s="13">
        <f>IF(OR(R414="",J414=""),"",R414/J414-1)</f>
        <v/>
      </c>
      <c r="T414" s="14">
        <f>IF(OR(L414="",R414="",J414=""),"",SQRT(4+(L414^2-4)*(R414/J414)^2))</f>
        <v/>
      </c>
      <c r="U414" s="7" t="n"/>
      <c r="V414" s="7" t="n"/>
    </row>
    <row r="415">
      <c r="A415" s="7" t="inlineStr">
        <is>
          <t>p-3/4-1-i3</t>
        </is>
      </c>
      <c r="B415" s="7" t="inlineStr">
        <is>
          <t>3/4</t>
        </is>
      </c>
      <c r="C415" s="7" t="inlineStr">
        <is>
          <t>p</t>
        </is>
      </c>
      <c r="D415" s="7" t="inlineStr">
        <is>
          <t>PVC-80</t>
        </is>
      </c>
      <c r="E415" s="7" t="n">
        <v>1</v>
      </c>
      <c r="F415" s="7" t="n">
        <v>3</v>
      </c>
      <c r="G415" s="8" t="n"/>
      <c r="H415" s="27" t="n"/>
      <c r="I415" s="27" t="n"/>
      <c r="J415" s="8" t="n"/>
      <c r="K415" s="8" t="n"/>
      <c r="L415" s="10" t="n"/>
      <c r="M415" s="8" t="n"/>
      <c r="N415" s="11">
        <f>IF(OR(J415="",H415="",I415=""),"",J415/((I415-H415)*1440))</f>
        <v/>
      </c>
      <c r="O415" s="7" t="n"/>
      <c r="P415" s="7" t="n"/>
      <c r="Q415" s="7" t="n"/>
      <c r="R415" s="12" t="n"/>
      <c r="S415" s="13">
        <f>IF(OR(R415="",J415=""),"",R415/J415-1)</f>
        <v/>
      </c>
      <c r="T415" s="14">
        <f>IF(OR(L415="",R415="",J415=""),"",SQRT(4+(L415^2-4)*(R415/J415)^2))</f>
        <v/>
      </c>
      <c r="U415" s="7" t="n"/>
      <c r="V415" s="7" t="n"/>
    </row>
    <row r="416">
      <c r="A416" s="7" t="inlineStr">
        <is>
          <t>p-3/4-3-i1</t>
        </is>
      </c>
      <c r="B416" s="7" t="inlineStr">
        <is>
          <t>3/4</t>
        </is>
      </c>
      <c r="C416" s="7" t="inlineStr">
        <is>
          <t>p</t>
        </is>
      </c>
      <c r="D416" s="7" t="inlineStr">
        <is>
          <t>PVC-80</t>
        </is>
      </c>
      <c r="E416" s="7" t="n">
        <v>3</v>
      </c>
      <c r="F416" s="7" t="n">
        <v>1</v>
      </c>
      <c r="G416" s="8" t="n"/>
      <c r="H416" s="27" t="n"/>
      <c r="I416" s="27" t="n"/>
      <c r="J416" s="8" t="n"/>
      <c r="K416" s="8" t="n"/>
      <c r="L416" s="10" t="n"/>
      <c r="M416" s="8" t="n"/>
      <c r="N416" s="11">
        <f>IF(OR(J416="",H416="",I416=""),"",J416/((I416-H416)*1440))</f>
        <v/>
      </c>
      <c r="O416" s="7" t="n"/>
      <c r="P416" s="7" t="n"/>
      <c r="Q416" s="7" t="n"/>
      <c r="R416" s="12" t="n"/>
      <c r="S416" s="13">
        <f>IF(OR(R416="",J416=""),"",R416/J416-1)</f>
        <v/>
      </c>
      <c r="T416" s="14">
        <f>IF(OR(L416="",R416="",J416=""),"",SQRT(4+(L416^2-4)*(R416/J416)^2))</f>
        <v/>
      </c>
      <c r="U416" s="7" t="n"/>
      <c r="V416" s="7" t="n"/>
    </row>
    <row r="417">
      <c r="A417" s="7" t="inlineStr">
        <is>
          <t>p-3/4-3-i2</t>
        </is>
      </c>
      <c r="B417" s="7" t="inlineStr">
        <is>
          <t>3/4</t>
        </is>
      </c>
      <c r="C417" s="7" t="inlineStr">
        <is>
          <t>p</t>
        </is>
      </c>
      <c r="D417" s="7" t="inlineStr">
        <is>
          <t>PVC-80</t>
        </is>
      </c>
      <c r="E417" s="7" t="n">
        <v>3</v>
      </c>
      <c r="F417" s="7" t="n">
        <v>2</v>
      </c>
      <c r="G417" s="8" t="n"/>
      <c r="H417" s="27" t="n"/>
      <c r="I417" s="27" t="n"/>
      <c r="J417" s="8" t="n"/>
      <c r="K417" s="8" t="n"/>
      <c r="L417" s="10" t="n"/>
      <c r="M417" s="8" t="n"/>
      <c r="N417" s="11">
        <f>IF(OR(J417="",H417="",I417=""),"",J417/((I417-H417)*1440))</f>
        <v/>
      </c>
      <c r="O417" s="7" t="n"/>
      <c r="P417" s="7" t="n"/>
      <c r="Q417" s="7" t="n"/>
      <c r="R417" s="12" t="n"/>
      <c r="S417" s="13">
        <f>IF(OR(R417="",J417=""),"",R417/J417-1)</f>
        <v/>
      </c>
      <c r="T417" s="14">
        <f>IF(OR(L417="",R417="",J417=""),"",SQRT(4+(L417^2-4)*(R417/J417)^2))</f>
        <v/>
      </c>
      <c r="U417" s="7" t="n"/>
      <c r="V417" s="7" t="n"/>
    </row>
    <row r="418">
      <c r="A418" s="7" t="inlineStr">
        <is>
          <t>p-3/4-3-i3</t>
        </is>
      </c>
      <c r="B418" s="7" t="inlineStr">
        <is>
          <t>3/4</t>
        </is>
      </c>
      <c r="C418" s="7" t="inlineStr">
        <is>
          <t>p</t>
        </is>
      </c>
      <c r="D418" s="7" t="inlineStr">
        <is>
          <t>PVC-80</t>
        </is>
      </c>
      <c r="E418" s="7" t="n">
        <v>3</v>
      </c>
      <c r="F418" s="7" t="n">
        <v>3</v>
      </c>
      <c r="G418" s="8" t="n"/>
      <c r="H418" s="27" t="n"/>
      <c r="I418" s="27" t="n"/>
      <c r="J418" s="8" t="n"/>
      <c r="K418" s="8" t="n"/>
      <c r="L418" s="10" t="n"/>
      <c r="M418" s="8" t="n"/>
      <c r="N418" s="11">
        <f>IF(OR(J418="",H418="",I418=""),"",J418/((I418-H418)*1440))</f>
        <v/>
      </c>
      <c r="O418" s="7" t="n"/>
      <c r="P418" s="7" t="n"/>
      <c r="Q418" s="7" t="n"/>
      <c r="R418" s="12" t="n"/>
      <c r="S418" s="13">
        <f>IF(OR(R418="",J418=""),"",R418/J418-1)</f>
        <v/>
      </c>
      <c r="T418" s="14">
        <f>IF(OR(L418="",R418="",J418=""),"",SQRT(4+(L418^2-4)*(R418/J418)^2))</f>
        <v/>
      </c>
      <c r="U418" s="7" t="n"/>
      <c r="V418" s="7" t="n"/>
    </row>
    <row r="419">
      <c r="A419" s="7" t="inlineStr">
        <is>
          <t>p-3/4-5-i1</t>
        </is>
      </c>
      <c r="B419" s="7" t="inlineStr">
        <is>
          <t>3/4</t>
        </is>
      </c>
      <c r="C419" s="7" t="inlineStr">
        <is>
          <t>p</t>
        </is>
      </c>
      <c r="D419" s="7" t="inlineStr">
        <is>
          <t>PVC-80</t>
        </is>
      </c>
      <c r="E419" s="7" t="n">
        <v>5</v>
      </c>
      <c r="F419" s="7" t="n">
        <v>1</v>
      </c>
      <c r="G419" s="8" t="n"/>
      <c r="H419" s="27" t="n"/>
      <c r="I419" s="27" t="n"/>
      <c r="J419" s="8" t="n"/>
      <c r="K419" s="8" t="n"/>
      <c r="L419" s="10" t="n"/>
      <c r="M419" s="8" t="n"/>
      <c r="N419" s="11">
        <f>IF(OR(J419="",H419="",I419=""),"",J419/((I419-H419)*1440))</f>
        <v/>
      </c>
      <c r="O419" s="7" t="n"/>
      <c r="P419" s="7" t="n"/>
      <c r="Q419" s="7" t="n"/>
      <c r="R419" s="12" t="n"/>
      <c r="S419" s="13">
        <f>IF(OR(R419="",J419=""),"",R419/J419-1)</f>
        <v/>
      </c>
      <c r="T419" s="14">
        <f>IF(OR(L419="",R419="",J419=""),"",SQRT(4+(L419^2-4)*(R419/J419)^2))</f>
        <v/>
      </c>
      <c r="U419" s="7" t="n"/>
      <c r="V419" s="7" t="n"/>
    </row>
    <row r="420">
      <c r="A420" s="7" t="inlineStr">
        <is>
          <t>p-3/4-5-i2</t>
        </is>
      </c>
      <c r="B420" s="7" t="inlineStr">
        <is>
          <t>3/4</t>
        </is>
      </c>
      <c r="C420" s="7" t="inlineStr">
        <is>
          <t>p</t>
        </is>
      </c>
      <c r="D420" s="7" t="inlineStr">
        <is>
          <t>PVC-80</t>
        </is>
      </c>
      <c r="E420" s="7" t="n">
        <v>5</v>
      </c>
      <c r="F420" s="7" t="n">
        <v>2</v>
      </c>
      <c r="G420" s="8" t="n"/>
      <c r="H420" s="27" t="n"/>
      <c r="I420" s="27" t="n"/>
      <c r="J420" s="8" t="n"/>
      <c r="K420" s="8" t="n"/>
      <c r="L420" s="10" t="n"/>
      <c r="M420" s="8" t="n"/>
      <c r="N420" s="11">
        <f>IF(OR(J420="",H420="",I420=""),"",J420/((I420-H420)*1440))</f>
        <v/>
      </c>
      <c r="O420" s="7" t="n"/>
      <c r="P420" s="7" t="n"/>
      <c r="Q420" s="7" t="n"/>
      <c r="R420" s="12" t="n"/>
      <c r="S420" s="13">
        <f>IF(OR(R420="",J420=""),"",R420/J420-1)</f>
        <v/>
      </c>
      <c r="T420" s="14">
        <f>IF(OR(L420="",R420="",J420=""),"",SQRT(4+(L420^2-4)*(R420/J420)^2))</f>
        <v/>
      </c>
      <c r="U420" s="7" t="n"/>
      <c r="V420" s="7" t="n"/>
    </row>
    <row r="421">
      <c r="A421" s="7" t="inlineStr">
        <is>
          <t>p-3/4-5-i3</t>
        </is>
      </c>
      <c r="B421" s="7" t="inlineStr">
        <is>
          <t>3/4</t>
        </is>
      </c>
      <c r="C421" s="7" t="inlineStr">
        <is>
          <t>p</t>
        </is>
      </c>
      <c r="D421" s="7" t="inlineStr">
        <is>
          <t>PVC-80</t>
        </is>
      </c>
      <c r="E421" s="7" t="n">
        <v>5</v>
      </c>
      <c r="F421" s="7" t="n">
        <v>3</v>
      </c>
      <c r="G421" s="8" t="n"/>
      <c r="H421" s="27" t="n"/>
      <c r="I421" s="27" t="n"/>
      <c r="J421" s="8" t="n"/>
      <c r="K421" s="8" t="n"/>
      <c r="L421" s="10" t="n"/>
      <c r="M421" s="8" t="n"/>
      <c r="N421" s="11">
        <f>IF(OR(J421="",H421="",I421=""),"",J421/((I421-H421)*1440))</f>
        <v/>
      </c>
      <c r="O421" s="7" t="n"/>
      <c r="P421" s="7" t="n"/>
      <c r="Q421" s="7" t="n"/>
      <c r="R421" s="12" t="n"/>
      <c r="S421" s="13">
        <f>IF(OR(R421="",J421=""),"",R421/J421-1)</f>
        <v/>
      </c>
      <c r="T421" s="14">
        <f>IF(OR(L421="",R421="",J421=""),"",SQRT(4+(L421^2-4)*(R421/J421)^2))</f>
        <v/>
      </c>
      <c r="U421" s="7" t="n"/>
      <c r="V421" s="7" t="n"/>
    </row>
    <row r="422">
      <c r="A422" s="7" t="inlineStr">
        <is>
          <t>p-3/4-10-i1</t>
        </is>
      </c>
      <c r="B422" s="7" t="inlineStr">
        <is>
          <t>3/4</t>
        </is>
      </c>
      <c r="C422" s="7" t="inlineStr">
        <is>
          <t>p</t>
        </is>
      </c>
      <c r="D422" s="7" t="inlineStr">
        <is>
          <t>PVC-80</t>
        </is>
      </c>
      <c r="E422" s="7" t="n">
        <v>10</v>
      </c>
      <c r="F422" s="7" t="n">
        <v>1</v>
      </c>
      <c r="G422" s="8" t="n"/>
      <c r="H422" s="27" t="n"/>
      <c r="I422" s="27" t="n"/>
      <c r="J422" s="8" t="n"/>
      <c r="K422" s="8" t="n"/>
      <c r="L422" s="10" t="n"/>
      <c r="M422" s="8" t="n"/>
      <c r="N422" s="11">
        <f>IF(OR(J422="",H422="",I422=""),"",J422/((I422-H422)*1440))</f>
        <v/>
      </c>
      <c r="O422" s="7" t="n"/>
      <c r="P422" s="7" t="n"/>
      <c r="Q422" s="7" t="n"/>
      <c r="R422" s="12" t="n"/>
      <c r="S422" s="13">
        <f>IF(OR(R422="",J422=""),"",R422/J422-1)</f>
        <v/>
      </c>
      <c r="T422" s="14">
        <f>IF(OR(L422="",R422="",J422=""),"",SQRT(4+(L422^2-4)*(R422/J422)^2))</f>
        <v/>
      </c>
      <c r="U422" s="7" t="n"/>
      <c r="V422" s="7" t="n"/>
    </row>
    <row r="423">
      <c r="A423" s="7" t="inlineStr">
        <is>
          <t>p-3/4-10-i2</t>
        </is>
      </c>
      <c r="B423" s="7" t="inlineStr">
        <is>
          <t>3/4</t>
        </is>
      </c>
      <c r="C423" s="7" t="inlineStr">
        <is>
          <t>p</t>
        </is>
      </c>
      <c r="D423" s="7" t="inlineStr">
        <is>
          <t>PVC-80</t>
        </is>
      </c>
      <c r="E423" s="7" t="n">
        <v>10</v>
      </c>
      <c r="F423" s="7" t="n">
        <v>2</v>
      </c>
      <c r="G423" s="8" t="n"/>
      <c r="H423" s="27" t="n"/>
      <c r="I423" s="27" t="n"/>
      <c r="J423" s="8" t="n"/>
      <c r="K423" s="8" t="n"/>
      <c r="L423" s="10" t="n"/>
      <c r="M423" s="8" t="n"/>
      <c r="N423" s="11">
        <f>IF(OR(J423="",H423="",I423=""),"",J423/((I423-H423)*1440))</f>
        <v/>
      </c>
      <c r="O423" s="7" t="n"/>
      <c r="P423" s="7" t="n"/>
      <c r="Q423" s="7" t="n"/>
      <c r="R423" s="12" t="n"/>
      <c r="S423" s="13">
        <f>IF(OR(R423="",J423=""),"",R423/J423-1)</f>
        <v/>
      </c>
      <c r="T423" s="14">
        <f>IF(OR(L423="",R423="",J423=""),"",SQRT(4+(L423^2-4)*(R423/J423)^2))</f>
        <v/>
      </c>
      <c r="U423" s="7" t="n"/>
      <c r="V423" s="7" t="n"/>
    </row>
    <row r="424">
      <c r="A424" s="7" t="inlineStr">
        <is>
          <t>p-3/4-10-i3</t>
        </is>
      </c>
      <c r="B424" s="7" t="inlineStr">
        <is>
          <t>3/4</t>
        </is>
      </c>
      <c r="C424" s="7" t="inlineStr">
        <is>
          <t>p</t>
        </is>
      </c>
      <c r="D424" s="7" t="inlineStr">
        <is>
          <t>PVC-80</t>
        </is>
      </c>
      <c r="E424" s="7" t="n">
        <v>10</v>
      </c>
      <c r="F424" s="7" t="n">
        <v>3</v>
      </c>
      <c r="G424" s="8" t="n"/>
      <c r="H424" s="27" t="n"/>
      <c r="I424" s="27" t="n"/>
      <c r="J424" s="8" t="n"/>
      <c r="K424" s="8" t="n"/>
      <c r="L424" s="10" t="n"/>
      <c r="M424" s="8" t="n"/>
      <c r="N424" s="11">
        <f>IF(OR(J424="",H424="",I424=""),"",J424/((I424-H424)*1440))</f>
        <v/>
      </c>
      <c r="O424" s="7" t="n"/>
      <c r="P424" s="7" t="n"/>
      <c r="Q424" s="7" t="n"/>
      <c r="R424" s="12" t="n"/>
      <c r="S424" s="13">
        <f>IF(OR(R424="",J424=""),"",R424/J424-1)</f>
        <v/>
      </c>
      <c r="T424" s="14">
        <f>IF(OR(L424="",R424="",J424=""),"",SQRT(4+(L424^2-4)*(R424/J424)^2))</f>
        <v/>
      </c>
      <c r="U424" s="7" t="n"/>
      <c r="V424" s="7" t="n"/>
    </row>
    <row r="425">
      <c r="A425" s="7" t="inlineStr">
        <is>
          <t>x-3/4-0.5-i1</t>
        </is>
      </c>
      <c r="B425" s="7" t="inlineStr">
        <is>
          <t>3/4</t>
        </is>
      </c>
      <c r="C425" s="7" t="inlineStr">
        <is>
          <t>x</t>
        </is>
      </c>
      <c r="D425" s="7" t="inlineStr">
        <is>
          <t>PEX-B</t>
        </is>
      </c>
      <c r="E425" s="7" t="n">
        <v>0.5</v>
      </c>
      <c r="F425" s="7" t="n">
        <v>1</v>
      </c>
      <c r="G425" s="8" t="n"/>
      <c r="H425" s="27" t="n"/>
      <c r="I425" s="27" t="n"/>
      <c r="J425" s="8" t="n"/>
      <c r="K425" s="8" t="n"/>
      <c r="L425" s="10" t="n"/>
      <c r="M425" s="8" t="n"/>
      <c r="N425" s="11">
        <f>IF(OR(J425="",H425="",I425=""),"",J425/((I425-H425)*1440))</f>
        <v/>
      </c>
      <c r="O425" s="7" t="n"/>
      <c r="P425" s="7" t="n"/>
      <c r="Q425" s="7" t="n"/>
      <c r="R425" s="12" t="n"/>
      <c r="S425" s="13">
        <f>IF(OR(R425="",J425=""),"",R425/J425-1)</f>
        <v/>
      </c>
      <c r="T425" s="14">
        <f>IF(OR(L425="",R425="",J425=""),"",SQRT(4+(L425^2-4)*(R425/J425)^2))</f>
        <v/>
      </c>
      <c r="U425" s="7" t="n"/>
      <c r="V425" s="7" t="n"/>
    </row>
    <row r="426">
      <c r="A426" s="7" t="inlineStr">
        <is>
          <t>x-3/4-0.5-i2</t>
        </is>
      </c>
      <c r="B426" s="7" t="inlineStr">
        <is>
          <t>3/4</t>
        </is>
      </c>
      <c r="C426" s="7" t="inlineStr">
        <is>
          <t>x</t>
        </is>
      </c>
      <c r="D426" s="7" t="inlineStr">
        <is>
          <t>PEX-B</t>
        </is>
      </c>
      <c r="E426" s="7" t="n">
        <v>0.5</v>
      </c>
      <c r="F426" s="7" t="n">
        <v>2</v>
      </c>
      <c r="G426" s="8" t="n"/>
      <c r="H426" s="27" t="n"/>
      <c r="I426" s="27" t="n"/>
      <c r="J426" s="8" t="n"/>
      <c r="K426" s="8" t="n"/>
      <c r="L426" s="10" t="n"/>
      <c r="M426" s="8" t="n"/>
      <c r="N426" s="11">
        <f>IF(OR(J426="",H426="",I426=""),"",J426/((I426-H426)*1440))</f>
        <v/>
      </c>
      <c r="O426" s="7" t="n"/>
      <c r="P426" s="7" t="n"/>
      <c r="Q426" s="7" t="n"/>
      <c r="R426" s="12" t="n"/>
      <c r="S426" s="13">
        <f>IF(OR(R426="",J426=""),"",R426/J426-1)</f>
        <v/>
      </c>
      <c r="T426" s="14">
        <f>IF(OR(L426="",R426="",J426=""),"",SQRT(4+(L426^2-4)*(R426/J426)^2))</f>
        <v/>
      </c>
      <c r="U426" s="7" t="n"/>
      <c r="V426" s="7" t="n"/>
    </row>
    <row r="427">
      <c r="A427" s="7" t="inlineStr">
        <is>
          <t>x-3/4-0.5-i3</t>
        </is>
      </c>
      <c r="B427" s="7" t="inlineStr">
        <is>
          <t>3/4</t>
        </is>
      </c>
      <c r="C427" s="7" t="inlineStr">
        <is>
          <t>x</t>
        </is>
      </c>
      <c r="D427" s="7" t="inlineStr">
        <is>
          <t>PEX-B</t>
        </is>
      </c>
      <c r="E427" s="7" t="n">
        <v>0.5</v>
      </c>
      <c r="F427" s="7" t="n">
        <v>3</v>
      </c>
      <c r="G427" s="8" t="n"/>
      <c r="H427" s="27" t="n"/>
      <c r="I427" s="27" t="n"/>
      <c r="J427" s="8" t="n"/>
      <c r="K427" s="8" t="n"/>
      <c r="L427" s="10" t="n"/>
      <c r="M427" s="8" t="n"/>
      <c r="N427" s="11">
        <f>IF(OR(J427="",H427="",I427=""),"",J427/((I427-H427)*1440))</f>
        <v/>
      </c>
      <c r="O427" s="7" t="n"/>
      <c r="P427" s="7" t="n"/>
      <c r="Q427" s="7" t="n"/>
      <c r="R427" s="12" t="n"/>
      <c r="S427" s="13">
        <f>IF(OR(R427="",J427=""),"",R427/J427-1)</f>
        <v/>
      </c>
      <c r="T427" s="14">
        <f>IF(OR(L427="",R427="",J427=""),"",SQRT(4+(L427^2-4)*(R427/J427)^2))</f>
        <v/>
      </c>
      <c r="U427" s="7" t="n"/>
      <c r="V427" s="7" t="n"/>
    </row>
    <row r="428">
      <c r="A428" s="7" t="inlineStr">
        <is>
          <t>x-3/4-1-i1</t>
        </is>
      </c>
      <c r="B428" s="7" t="inlineStr">
        <is>
          <t>3/4</t>
        </is>
      </c>
      <c r="C428" s="7" t="inlineStr">
        <is>
          <t>x</t>
        </is>
      </c>
      <c r="D428" s="7" t="inlineStr">
        <is>
          <t>PEX-B</t>
        </is>
      </c>
      <c r="E428" s="7" t="n">
        <v>1</v>
      </c>
      <c r="F428" s="7" t="n">
        <v>1</v>
      </c>
      <c r="G428" s="8" t="n"/>
      <c r="H428" s="27" t="n"/>
      <c r="I428" s="27" t="n"/>
      <c r="J428" s="8" t="n"/>
      <c r="K428" s="8" t="n"/>
      <c r="L428" s="10" t="n"/>
      <c r="M428" s="8" t="n"/>
      <c r="N428" s="11">
        <f>IF(OR(J428="",H428="",I428=""),"",J428/((I428-H428)*1440))</f>
        <v/>
      </c>
      <c r="O428" s="7" t="n"/>
      <c r="P428" s="7" t="n"/>
      <c r="Q428" s="7" t="n"/>
      <c r="R428" s="12" t="n"/>
      <c r="S428" s="13">
        <f>IF(OR(R428="",J428=""),"",R428/J428-1)</f>
        <v/>
      </c>
      <c r="T428" s="14">
        <f>IF(OR(L428="",R428="",J428=""),"",SQRT(4+(L428^2-4)*(R428/J428)^2))</f>
        <v/>
      </c>
      <c r="U428" s="7" t="n"/>
      <c r="V428" s="7" t="n"/>
    </row>
    <row r="429">
      <c r="A429" s="7" t="inlineStr">
        <is>
          <t>x-3/4-1-i2</t>
        </is>
      </c>
      <c r="B429" s="7" t="inlineStr">
        <is>
          <t>3/4</t>
        </is>
      </c>
      <c r="C429" s="7" t="inlineStr">
        <is>
          <t>x</t>
        </is>
      </c>
      <c r="D429" s="7" t="inlineStr">
        <is>
          <t>PEX-B</t>
        </is>
      </c>
      <c r="E429" s="7" t="n">
        <v>1</v>
      </c>
      <c r="F429" s="7" t="n">
        <v>2</v>
      </c>
      <c r="G429" s="8" t="n"/>
      <c r="H429" s="27" t="n"/>
      <c r="I429" s="27" t="n"/>
      <c r="J429" s="8" t="n"/>
      <c r="K429" s="8" t="n"/>
      <c r="L429" s="10" t="n"/>
      <c r="M429" s="8" t="n"/>
      <c r="N429" s="11">
        <f>IF(OR(J429="",H429="",I429=""),"",J429/((I429-H429)*1440))</f>
        <v/>
      </c>
      <c r="O429" s="7" t="n"/>
      <c r="P429" s="7" t="n"/>
      <c r="Q429" s="7" t="n"/>
      <c r="R429" s="12" t="n"/>
      <c r="S429" s="13">
        <f>IF(OR(R429="",J429=""),"",R429/J429-1)</f>
        <v/>
      </c>
      <c r="T429" s="14">
        <f>IF(OR(L429="",R429="",J429=""),"",SQRT(4+(L429^2-4)*(R429/J429)^2))</f>
        <v/>
      </c>
      <c r="U429" s="7" t="n"/>
      <c r="V429" s="7" t="n"/>
    </row>
    <row r="430">
      <c r="A430" s="7" t="inlineStr">
        <is>
          <t>x-3/4-1-i3</t>
        </is>
      </c>
      <c r="B430" s="7" t="inlineStr">
        <is>
          <t>3/4</t>
        </is>
      </c>
      <c r="C430" s="7" t="inlineStr">
        <is>
          <t>x</t>
        </is>
      </c>
      <c r="D430" s="7" t="inlineStr">
        <is>
          <t>PEX-B</t>
        </is>
      </c>
      <c r="E430" s="7" t="n">
        <v>1</v>
      </c>
      <c r="F430" s="7" t="n">
        <v>3</v>
      </c>
      <c r="G430" s="8" t="n"/>
      <c r="H430" s="27" t="n"/>
      <c r="I430" s="27" t="n"/>
      <c r="J430" s="8" t="n"/>
      <c r="K430" s="8" t="n"/>
      <c r="L430" s="10" t="n"/>
      <c r="M430" s="8" t="n"/>
      <c r="N430" s="11">
        <f>IF(OR(J430="",H430="",I430=""),"",J430/((I430-H430)*1440))</f>
        <v/>
      </c>
      <c r="O430" s="7" t="n"/>
      <c r="P430" s="7" t="n"/>
      <c r="Q430" s="7" t="n"/>
      <c r="R430" s="12" t="n"/>
      <c r="S430" s="13">
        <f>IF(OR(R430="",J430=""),"",R430/J430-1)</f>
        <v/>
      </c>
      <c r="T430" s="14">
        <f>IF(OR(L430="",R430="",J430=""),"",SQRT(4+(L430^2-4)*(R430/J430)^2))</f>
        <v/>
      </c>
      <c r="U430" s="7" t="n"/>
      <c r="V430" s="7" t="n"/>
    </row>
    <row r="431">
      <c r="A431" s="7" t="inlineStr">
        <is>
          <t>x-3/4-3-i1</t>
        </is>
      </c>
      <c r="B431" s="7" t="inlineStr">
        <is>
          <t>3/4</t>
        </is>
      </c>
      <c r="C431" s="7" t="inlineStr">
        <is>
          <t>x</t>
        </is>
      </c>
      <c r="D431" s="7" t="inlineStr">
        <is>
          <t>PEX-B</t>
        </is>
      </c>
      <c r="E431" s="7" t="n">
        <v>3</v>
      </c>
      <c r="F431" s="7" t="n">
        <v>1</v>
      </c>
      <c r="G431" s="8" t="n"/>
      <c r="H431" s="27" t="n"/>
      <c r="I431" s="27" t="n"/>
      <c r="J431" s="8" t="n"/>
      <c r="K431" s="8" t="n"/>
      <c r="L431" s="10" t="n"/>
      <c r="M431" s="8" t="n"/>
      <c r="N431" s="11">
        <f>IF(OR(J431="",H431="",I431=""),"",J431/((I431-H431)*1440))</f>
        <v/>
      </c>
      <c r="O431" s="7" t="n"/>
      <c r="P431" s="7" t="n"/>
      <c r="Q431" s="7" t="n"/>
      <c r="R431" s="12" t="n"/>
      <c r="S431" s="13">
        <f>IF(OR(R431="",J431=""),"",R431/J431-1)</f>
        <v/>
      </c>
      <c r="T431" s="14">
        <f>IF(OR(L431="",R431="",J431=""),"",SQRT(4+(L431^2-4)*(R431/J431)^2))</f>
        <v/>
      </c>
      <c r="U431" s="7" t="n"/>
      <c r="V431" s="7" t="n"/>
    </row>
    <row r="432">
      <c r="A432" s="7" t="inlineStr">
        <is>
          <t>x-3/4-3-i2</t>
        </is>
      </c>
      <c r="B432" s="7" t="inlineStr">
        <is>
          <t>3/4</t>
        </is>
      </c>
      <c r="C432" s="7" t="inlineStr">
        <is>
          <t>x</t>
        </is>
      </c>
      <c r="D432" s="7" t="inlineStr">
        <is>
          <t>PEX-B</t>
        </is>
      </c>
      <c r="E432" s="7" t="n">
        <v>3</v>
      </c>
      <c r="F432" s="7" t="n">
        <v>2</v>
      </c>
      <c r="G432" s="8" t="n"/>
      <c r="H432" s="27" t="n"/>
      <c r="I432" s="27" t="n"/>
      <c r="J432" s="8" t="n"/>
      <c r="K432" s="8" t="n"/>
      <c r="L432" s="10" t="n"/>
      <c r="M432" s="8" t="n"/>
      <c r="N432" s="11">
        <f>IF(OR(J432="",H432="",I432=""),"",J432/((I432-H432)*1440))</f>
        <v/>
      </c>
      <c r="O432" s="7" t="n"/>
      <c r="P432" s="7" t="n"/>
      <c r="Q432" s="7" t="n"/>
      <c r="R432" s="12" t="n"/>
      <c r="S432" s="13">
        <f>IF(OR(R432="",J432=""),"",R432/J432-1)</f>
        <v/>
      </c>
      <c r="T432" s="14">
        <f>IF(OR(L432="",R432="",J432=""),"",SQRT(4+(L432^2-4)*(R432/J432)^2))</f>
        <v/>
      </c>
      <c r="U432" s="7" t="n"/>
      <c r="V432" s="7" t="n"/>
    </row>
    <row r="433">
      <c r="A433" s="7" t="inlineStr">
        <is>
          <t>x-3/4-3-i3</t>
        </is>
      </c>
      <c r="B433" s="7" t="inlineStr">
        <is>
          <t>3/4</t>
        </is>
      </c>
      <c r="C433" s="7" t="inlineStr">
        <is>
          <t>x</t>
        </is>
      </c>
      <c r="D433" s="7" t="inlineStr">
        <is>
          <t>PEX-B</t>
        </is>
      </c>
      <c r="E433" s="7" t="n">
        <v>3</v>
      </c>
      <c r="F433" s="7" t="n">
        <v>3</v>
      </c>
      <c r="G433" s="8" t="n"/>
      <c r="H433" s="27" t="n"/>
      <c r="I433" s="27" t="n"/>
      <c r="J433" s="8" t="n"/>
      <c r="K433" s="8" t="n"/>
      <c r="L433" s="10" t="n"/>
      <c r="M433" s="8" t="n"/>
      <c r="N433" s="11">
        <f>IF(OR(J433="",H433="",I433=""),"",J433/((I433-H433)*1440))</f>
        <v/>
      </c>
      <c r="O433" s="7" t="n"/>
      <c r="P433" s="7" t="n"/>
      <c r="Q433" s="7" t="n"/>
      <c r="R433" s="12" t="n"/>
      <c r="S433" s="13">
        <f>IF(OR(R433="",J433=""),"",R433/J433-1)</f>
        <v/>
      </c>
      <c r="T433" s="14">
        <f>IF(OR(L433="",R433="",J433=""),"",SQRT(4+(L433^2-4)*(R433/J433)^2))</f>
        <v/>
      </c>
      <c r="U433" s="7" t="n"/>
      <c r="V433" s="7" t="n"/>
    </row>
    <row r="434">
      <c r="A434" s="7" t="inlineStr">
        <is>
          <t>x-3/4-5-i1</t>
        </is>
      </c>
      <c r="B434" s="7" t="inlineStr">
        <is>
          <t>3/4</t>
        </is>
      </c>
      <c r="C434" s="7" t="inlineStr">
        <is>
          <t>x</t>
        </is>
      </c>
      <c r="D434" s="7" t="inlineStr">
        <is>
          <t>PEX-B</t>
        </is>
      </c>
      <c r="E434" s="7" t="n">
        <v>5</v>
      </c>
      <c r="F434" s="7" t="n">
        <v>1</v>
      </c>
      <c r="G434" s="8" t="n"/>
      <c r="H434" s="27" t="n"/>
      <c r="I434" s="27" t="n"/>
      <c r="J434" s="8" t="n"/>
      <c r="K434" s="8" t="n"/>
      <c r="L434" s="10" t="n"/>
      <c r="M434" s="8" t="n"/>
      <c r="N434" s="11">
        <f>IF(OR(J434="",H434="",I434=""),"",J434/((I434-H434)*1440))</f>
        <v/>
      </c>
      <c r="O434" s="7" t="n"/>
      <c r="P434" s="7" t="n"/>
      <c r="Q434" s="7" t="n"/>
      <c r="R434" s="12" t="n"/>
      <c r="S434" s="13">
        <f>IF(OR(R434="",J434=""),"",R434/J434-1)</f>
        <v/>
      </c>
      <c r="T434" s="14">
        <f>IF(OR(L434="",R434="",J434=""),"",SQRT(4+(L434^2-4)*(R434/J434)^2))</f>
        <v/>
      </c>
      <c r="U434" s="7" t="n"/>
      <c r="V434" s="7" t="n"/>
    </row>
    <row r="435">
      <c r="A435" s="7" t="inlineStr">
        <is>
          <t>x-3/4-5-i2</t>
        </is>
      </c>
      <c r="B435" s="7" t="inlineStr">
        <is>
          <t>3/4</t>
        </is>
      </c>
      <c r="C435" s="7" t="inlineStr">
        <is>
          <t>x</t>
        </is>
      </c>
      <c r="D435" s="7" t="inlineStr">
        <is>
          <t>PEX-B</t>
        </is>
      </c>
      <c r="E435" s="7" t="n">
        <v>5</v>
      </c>
      <c r="F435" s="7" t="n">
        <v>2</v>
      </c>
      <c r="G435" s="8" t="n"/>
      <c r="H435" s="27" t="n"/>
      <c r="I435" s="27" t="n"/>
      <c r="J435" s="8" t="n"/>
      <c r="K435" s="8" t="n"/>
      <c r="L435" s="10" t="n"/>
      <c r="M435" s="8" t="n"/>
      <c r="N435" s="11">
        <f>IF(OR(J435="",H435="",I435=""),"",J435/((I435-H435)*1440))</f>
        <v/>
      </c>
      <c r="O435" s="7" t="n"/>
      <c r="P435" s="7" t="n"/>
      <c r="Q435" s="7" t="n"/>
      <c r="R435" s="12" t="n"/>
      <c r="S435" s="13">
        <f>IF(OR(R435="",J435=""),"",R435/J435-1)</f>
        <v/>
      </c>
      <c r="T435" s="14">
        <f>IF(OR(L435="",R435="",J435=""),"",SQRT(4+(L435^2-4)*(R435/J435)^2))</f>
        <v/>
      </c>
      <c r="U435" s="7" t="n"/>
      <c r="V435" s="7" t="n"/>
    </row>
    <row r="436">
      <c r="A436" s="7" t="inlineStr">
        <is>
          <t>x-3/4-5-i3</t>
        </is>
      </c>
      <c r="B436" s="7" t="inlineStr">
        <is>
          <t>3/4</t>
        </is>
      </c>
      <c r="C436" s="7" t="inlineStr">
        <is>
          <t>x</t>
        </is>
      </c>
      <c r="D436" s="7" t="inlineStr">
        <is>
          <t>PEX-B</t>
        </is>
      </c>
      <c r="E436" s="7" t="n">
        <v>5</v>
      </c>
      <c r="F436" s="7" t="n">
        <v>3</v>
      </c>
      <c r="G436" s="8" t="n"/>
      <c r="H436" s="27" t="n"/>
      <c r="I436" s="27" t="n"/>
      <c r="J436" s="8" t="n"/>
      <c r="K436" s="8" t="n"/>
      <c r="L436" s="10" t="n"/>
      <c r="M436" s="8" t="n"/>
      <c r="N436" s="11">
        <f>IF(OR(J436="",H436="",I436=""),"",J436/((I436-H436)*1440))</f>
        <v/>
      </c>
      <c r="O436" s="7" t="n"/>
      <c r="P436" s="7" t="n"/>
      <c r="Q436" s="7" t="n"/>
      <c r="R436" s="12" t="n"/>
      <c r="S436" s="13">
        <f>IF(OR(R436="",J436=""),"",R436/J436-1)</f>
        <v/>
      </c>
      <c r="T436" s="14">
        <f>IF(OR(L436="",R436="",J436=""),"",SQRT(4+(L436^2-4)*(R436/J436)^2))</f>
        <v/>
      </c>
      <c r="U436" s="7" t="n"/>
      <c r="V436" s="7" t="n"/>
    </row>
    <row r="437">
      <c r="A437" s="7" t="inlineStr">
        <is>
          <t>x-3/4-10-i1</t>
        </is>
      </c>
      <c r="B437" s="7" t="inlineStr">
        <is>
          <t>3/4</t>
        </is>
      </c>
      <c r="C437" s="7" t="inlineStr">
        <is>
          <t>x</t>
        </is>
      </c>
      <c r="D437" s="7" t="inlineStr">
        <is>
          <t>PEX-B</t>
        </is>
      </c>
      <c r="E437" s="7" t="n">
        <v>10</v>
      </c>
      <c r="F437" s="7" t="n">
        <v>1</v>
      </c>
      <c r="G437" s="8" t="n"/>
      <c r="H437" s="27" t="n"/>
      <c r="I437" s="27" t="n"/>
      <c r="J437" s="8" t="n"/>
      <c r="K437" s="8" t="n"/>
      <c r="L437" s="10" t="n"/>
      <c r="M437" s="8" t="n"/>
      <c r="N437" s="11">
        <f>IF(OR(J437="",H437="",I437=""),"",J437/((I437-H437)*1440))</f>
        <v/>
      </c>
      <c r="O437" s="7" t="n"/>
      <c r="P437" s="7" t="n"/>
      <c r="Q437" s="7" t="n"/>
      <c r="R437" s="12" t="n"/>
      <c r="S437" s="13">
        <f>IF(OR(R437="",J437=""),"",R437/J437-1)</f>
        <v/>
      </c>
      <c r="T437" s="14">
        <f>IF(OR(L437="",R437="",J437=""),"",SQRT(4+(L437^2-4)*(R437/J437)^2))</f>
        <v/>
      </c>
      <c r="U437" s="7" t="n"/>
      <c r="V437" s="7" t="n"/>
    </row>
    <row r="438">
      <c r="A438" s="7" t="inlineStr">
        <is>
          <t>x-3/4-10-i2</t>
        </is>
      </c>
      <c r="B438" s="7" t="inlineStr">
        <is>
          <t>3/4</t>
        </is>
      </c>
      <c r="C438" s="7" t="inlineStr">
        <is>
          <t>x</t>
        </is>
      </c>
      <c r="D438" s="7" t="inlineStr">
        <is>
          <t>PEX-B</t>
        </is>
      </c>
      <c r="E438" s="7" t="n">
        <v>10</v>
      </c>
      <c r="F438" s="7" t="n">
        <v>2</v>
      </c>
      <c r="G438" s="8" t="n"/>
      <c r="H438" s="27" t="n"/>
      <c r="I438" s="27" t="n"/>
      <c r="J438" s="8" t="n"/>
      <c r="K438" s="8" t="n"/>
      <c r="L438" s="10" t="n"/>
      <c r="M438" s="8" t="n"/>
      <c r="N438" s="11">
        <f>IF(OR(J438="",H438="",I438=""),"",J438/((I438-H438)*1440))</f>
        <v/>
      </c>
      <c r="O438" s="7" t="n"/>
      <c r="P438" s="7" t="n"/>
      <c r="Q438" s="7" t="n"/>
      <c r="R438" s="12" t="n"/>
      <c r="S438" s="13">
        <f>IF(OR(R438="",J438=""),"",R438/J438-1)</f>
        <v/>
      </c>
      <c r="T438" s="14">
        <f>IF(OR(L438="",R438="",J438=""),"",SQRT(4+(L438^2-4)*(R438/J438)^2))</f>
        <v/>
      </c>
      <c r="U438" s="7" t="n"/>
      <c r="V438" s="7" t="n"/>
    </row>
    <row r="439">
      <c r="A439" s="7" t="inlineStr">
        <is>
          <t>x-3/4-10-i3</t>
        </is>
      </c>
      <c r="B439" s="7" t="inlineStr">
        <is>
          <t>3/4</t>
        </is>
      </c>
      <c r="C439" s="7" t="inlineStr">
        <is>
          <t>x</t>
        </is>
      </c>
      <c r="D439" s="7" t="inlineStr">
        <is>
          <t>PEX-B</t>
        </is>
      </c>
      <c r="E439" s="7" t="n">
        <v>10</v>
      </c>
      <c r="F439" s="7" t="n">
        <v>3</v>
      </c>
      <c r="G439" s="8" t="n"/>
      <c r="H439" s="27" t="n"/>
      <c r="I439" s="27" t="n"/>
      <c r="J439" s="8" t="n"/>
      <c r="K439" s="8" t="n"/>
      <c r="L439" s="10" t="n"/>
      <c r="M439" s="8" t="n"/>
      <c r="N439" s="11">
        <f>IF(OR(J439="",H439="",I439=""),"",J439/((I439-H439)*1440))</f>
        <v/>
      </c>
      <c r="O439" s="7" t="n"/>
      <c r="P439" s="7" t="n"/>
      <c r="Q439" s="7" t="n"/>
      <c r="R439" s="12" t="n"/>
      <c r="S439" s="13">
        <f>IF(OR(R439="",J439=""),"",R439/J439-1)</f>
        <v/>
      </c>
      <c r="T439" s="14">
        <f>IF(OR(L439="",R439="",J439=""),"",SQRT(4+(L439^2-4)*(R439/J439)^2))</f>
        <v/>
      </c>
      <c r="U439" s="7" t="n"/>
      <c r="V439" s="7" t="n"/>
    </row>
    <row r="440">
      <c r="A440" s="7" t="inlineStr">
        <is>
          <t>B-3/4-0.5-i1</t>
        </is>
      </c>
      <c r="B440" s="7" t="inlineStr">
        <is>
          <t>3/4</t>
        </is>
      </c>
      <c r="C440" s="7" t="inlineStr">
        <is>
          <t>B</t>
        </is>
      </c>
      <c r="D440" s="7" t="inlineStr">
        <is>
          <t>B (.815)</t>
        </is>
      </c>
      <c r="E440" s="7" t="n">
        <v>0.5</v>
      </c>
      <c r="F440" s="7" t="n">
        <v>1</v>
      </c>
      <c r="G440" s="8" t="n"/>
      <c r="H440" s="27" t="n"/>
      <c r="I440" s="27" t="n"/>
      <c r="J440" s="8" t="n"/>
      <c r="K440" s="8" t="n"/>
      <c r="L440" s="10" t="n"/>
      <c r="M440" s="8" t="n"/>
      <c r="N440" s="11">
        <f>IF(OR(J440="",H440="",I440=""),"",J440/((I440-H440)*1440))</f>
        <v/>
      </c>
      <c r="O440" s="7" t="n"/>
      <c r="P440" s="7" t="n"/>
      <c r="Q440" s="7" t="n"/>
      <c r="R440" s="12" t="n"/>
      <c r="S440" s="13">
        <f>IF(OR(R440="",J440=""),"",R440/J440-1)</f>
        <v/>
      </c>
      <c r="T440" s="14">
        <f>IF(OR(L440="",R440="",J440=""),"",SQRT(4+(L440^2-4)*(R440/J440)^2))</f>
        <v/>
      </c>
      <c r="U440" s="7" t="n"/>
      <c r="V440" s="7" t="n"/>
    </row>
    <row r="441">
      <c r="A441" s="7" t="inlineStr">
        <is>
          <t>B-3/4-0.5-i2</t>
        </is>
      </c>
      <c r="B441" s="7" t="inlineStr">
        <is>
          <t>3/4</t>
        </is>
      </c>
      <c r="C441" s="7" t="inlineStr">
        <is>
          <t>B</t>
        </is>
      </c>
      <c r="D441" s="7" t="inlineStr">
        <is>
          <t>B (.815)</t>
        </is>
      </c>
      <c r="E441" s="7" t="n">
        <v>0.5</v>
      </c>
      <c r="F441" s="7" t="n">
        <v>2</v>
      </c>
      <c r="G441" s="8" t="n"/>
      <c r="H441" s="27" t="n"/>
      <c r="I441" s="27" t="n"/>
      <c r="J441" s="8" t="n"/>
      <c r="K441" s="8" t="n"/>
      <c r="L441" s="10" t="n"/>
      <c r="M441" s="8" t="n"/>
      <c r="N441" s="11">
        <f>IF(OR(J441="",H441="",I441=""),"",J441/((I441-H441)*1440))</f>
        <v/>
      </c>
      <c r="O441" s="7" t="n"/>
      <c r="P441" s="7" t="n"/>
      <c r="Q441" s="7" t="n"/>
      <c r="R441" s="12" t="n"/>
      <c r="S441" s="13">
        <f>IF(OR(R441="",J441=""),"",R441/J441-1)</f>
        <v/>
      </c>
      <c r="T441" s="14">
        <f>IF(OR(L441="",R441="",J441=""),"",SQRT(4+(L441^2-4)*(R441/J441)^2))</f>
        <v/>
      </c>
      <c r="U441" s="7" t="n"/>
      <c r="V441" s="7" t="n"/>
    </row>
    <row r="442">
      <c r="A442" s="7" t="inlineStr">
        <is>
          <t>B-3/4-0.5-i3</t>
        </is>
      </c>
      <c r="B442" s="7" t="inlineStr">
        <is>
          <t>3/4</t>
        </is>
      </c>
      <c r="C442" s="7" t="inlineStr">
        <is>
          <t>B</t>
        </is>
      </c>
      <c r="D442" s="7" t="inlineStr">
        <is>
          <t>B (.815)</t>
        </is>
      </c>
      <c r="E442" s="7" t="n">
        <v>0.5</v>
      </c>
      <c r="F442" s="7" t="n">
        <v>3</v>
      </c>
      <c r="G442" s="8" t="n"/>
      <c r="H442" s="27" t="n"/>
      <c r="I442" s="27" t="n"/>
      <c r="J442" s="8" t="n"/>
      <c r="K442" s="8" t="n"/>
      <c r="L442" s="10" t="n"/>
      <c r="M442" s="8" t="n"/>
      <c r="N442" s="11">
        <f>IF(OR(J442="",H442="",I442=""),"",J442/((I442-H442)*1440))</f>
        <v/>
      </c>
      <c r="O442" s="7" t="n"/>
      <c r="P442" s="7" t="n"/>
      <c r="Q442" s="7" t="n"/>
      <c r="R442" s="12" t="n"/>
      <c r="S442" s="13">
        <f>IF(OR(R442="",J442=""),"",R442/J442-1)</f>
        <v/>
      </c>
      <c r="T442" s="14">
        <f>IF(OR(L442="",R442="",J442=""),"",SQRT(4+(L442^2-4)*(R442/J442)^2))</f>
        <v/>
      </c>
      <c r="U442" s="7" t="n"/>
      <c r="V442" s="7" t="n"/>
    </row>
    <row r="443">
      <c r="A443" s="7" t="inlineStr">
        <is>
          <t>B-3/4-1-i1</t>
        </is>
      </c>
      <c r="B443" s="7" t="inlineStr">
        <is>
          <t>3/4</t>
        </is>
      </c>
      <c r="C443" s="7" t="inlineStr">
        <is>
          <t>B</t>
        </is>
      </c>
      <c r="D443" s="7" t="inlineStr">
        <is>
          <t>B (.815)</t>
        </is>
      </c>
      <c r="E443" s="7" t="n">
        <v>1</v>
      </c>
      <c r="F443" s="7" t="n">
        <v>1</v>
      </c>
      <c r="G443" s="8" t="n"/>
      <c r="H443" s="27" t="n"/>
      <c r="I443" s="27" t="n"/>
      <c r="J443" s="8" t="n"/>
      <c r="K443" s="8" t="n"/>
      <c r="L443" s="10" t="n"/>
      <c r="M443" s="8" t="n"/>
      <c r="N443" s="11">
        <f>IF(OR(J443="",H443="",I443=""),"",J443/((I443-H443)*1440))</f>
        <v/>
      </c>
      <c r="O443" s="7" t="n"/>
      <c r="P443" s="7" t="n"/>
      <c r="Q443" s="7" t="n"/>
      <c r="R443" s="12" t="n"/>
      <c r="S443" s="13">
        <f>IF(OR(R443="",J443=""),"",R443/J443-1)</f>
        <v/>
      </c>
      <c r="T443" s="14">
        <f>IF(OR(L443="",R443="",J443=""),"",SQRT(4+(L443^2-4)*(R443/J443)^2))</f>
        <v/>
      </c>
      <c r="U443" s="7" t="n"/>
      <c r="V443" s="7" t="n"/>
    </row>
    <row r="444">
      <c r="A444" s="7" t="inlineStr">
        <is>
          <t>B-3/4-1-i2</t>
        </is>
      </c>
      <c r="B444" s="7" t="inlineStr">
        <is>
          <t>3/4</t>
        </is>
      </c>
      <c r="C444" s="7" t="inlineStr">
        <is>
          <t>B</t>
        </is>
      </c>
      <c r="D444" s="7" t="inlineStr">
        <is>
          <t>B (.815)</t>
        </is>
      </c>
      <c r="E444" s="7" t="n">
        <v>1</v>
      </c>
      <c r="F444" s="7" t="n">
        <v>2</v>
      </c>
      <c r="G444" s="8" t="n"/>
      <c r="H444" s="27" t="n"/>
      <c r="I444" s="27" t="n"/>
      <c r="J444" s="8" t="n"/>
      <c r="K444" s="8" t="n"/>
      <c r="L444" s="10" t="n"/>
      <c r="M444" s="8" t="n"/>
      <c r="N444" s="11">
        <f>IF(OR(J444="",H444="",I444=""),"",J444/((I444-H444)*1440))</f>
        <v/>
      </c>
      <c r="O444" s="7" t="n"/>
      <c r="P444" s="7" t="n"/>
      <c r="Q444" s="7" t="n"/>
      <c r="R444" s="12" t="n"/>
      <c r="S444" s="13">
        <f>IF(OR(R444="",J444=""),"",R444/J444-1)</f>
        <v/>
      </c>
      <c r="T444" s="14">
        <f>IF(OR(L444="",R444="",J444=""),"",SQRT(4+(L444^2-4)*(R444/J444)^2))</f>
        <v/>
      </c>
      <c r="U444" s="7" t="n"/>
      <c r="V444" s="7" t="n"/>
    </row>
    <row r="445">
      <c r="A445" s="7" t="inlineStr">
        <is>
          <t>B-3/4-1-i3</t>
        </is>
      </c>
      <c r="B445" s="7" t="inlineStr">
        <is>
          <t>3/4</t>
        </is>
      </c>
      <c r="C445" s="7" t="inlineStr">
        <is>
          <t>B</t>
        </is>
      </c>
      <c r="D445" s="7" t="inlineStr">
        <is>
          <t>B (.815)</t>
        </is>
      </c>
      <c r="E445" s="7" t="n">
        <v>1</v>
      </c>
      <c r="F445" s="7" t="n">
        <v>3</v>
      </c>
      <c r="G445" s="8" t="n"/>
      <c r="H445" s="27" t="n"/>
      <c r="I445" s="27" t="n"/>
      <c r="J445" s="8" t="n"/>
      <c r="K445" s="8" t="n"/>
      <c r="L445" s="10" t="n"/>
      <c r="M445" s="8" t="n"/>
      <c r="N445" s="11">
        <f>IF(OR(J445="",H445="",I445=""),"",J445/((I445-H445)*1440))</f>
        <v/>
      </c>
      <c r="O445" s="7" t="n"/>
      <c r="P445" s="7" t="n"/>
      <c r="Q445" s="7" t="n"/>
      <c r="R445" s="12" t="n"/>
      <c r="S445" s="13">
        <f>IF(OR(R445="",J445=""),"",R445/J445-1)</f>
        <v/>
      </c>
      <c r="T445" s="14">
        <f>IF(OR(L445="",R445="",J445=""),"",SQRT(4+(L445^2-4)*(R445/J445)^2))</f>
        <v/>
      </c>
      <c r="U445" s="7" t="n"/>
      <c r="V445" s="7" t="n"/>
    </row>
    <row r="446">
      <c r="A446" s="7" t="inlineStr">
        <is>
          <t>B-3/4-3-i1</t>
        </is>
      </c>
      <c r="B446" s="7" t="inlineStr">
        <is>
          <t>3/4</t>
        </is>
      </c>
      <c r="C446" s="7" t="inlineStr">
        <is>
          <t>B</t>
        </is>
      </c>
      <c r="D446" s="7" t="inlineStr">
        <is>
          <t>B (.815)</t>
        </is>
      </c>
      <c r="E446" s="7" t="n">
        <v>3</v>
      </c>
      <c r="F446" s="7" t="n">
        <v>1</v>
      </c>
      <c r="G446" s="8" t="n"/>
      <c r="H446" s="27" t="n"/>
      <c r="I446" s="27" t="n"/>
      <c r="J446" s="8" t="n"/>
      <c r="K446" s="8" t="n"/>
      <c r="L446" s="10" t="n"/>
      <c r="M446" s="8" t="n"/>
      <c r="N446" s="11">
        <f>IF(OR(J446="",H446="",I446=""),"",J446/((I446-H446)*1440))</f>
        <v/>
      </c>
      <c r="O446" s="7" t="n"/>
      <c r="P446" s="7" t="n"/>
      <c r="Q446" s="7" t="n"/>
      <c r="R446" s="12" t="n"/>
      <c r="S446" s="13">
        <f>IF(OR(R446="",J446=""),"",R446/J446-1)</f>
        <v/>
      </c>
      <c r="T446" s="14">
        <f>IF(OR(L446="",R446="",J446=""),"",SQRT(4+(L446^2-4)*(R446/J446)^2))</f>
        <v/>
      </c>
      <c r="U446" s="7" t="n"/>
      <c r="V446" s="7" t="n"/>
    </row>
    <row r="447">
      <c r="A447" s="7" t="inlineStr">
        <is>
          <t>B-3/4-3-i2</t>
        </is>
      </c>
      <c r="B447" s="7" t="inlineStr">
        <is>
          <t>3/4</t>
        </is>
      </c>
      <c r="C447" s="7" t="inlineStr">
        <is>
          <t>B</t>
        </is>
      </c>
      <c r="D447" s="7" t="inlineStr">
        <is>
          <t>B (.815)</t>
        </is>
      </c>
      <c r="E447" s="7" t="n">
        <v>3</v>
      </c>
      <c r="F447" s="7" t="n">
        <v>2</v>
      </c>
      <c r="G447" s="8" t="n"/>
      <c r="H447" s="27" t="n"/>
      <c r="I447" s="27" t="n"/>
      <c r="J447" s="8" t="n"/>
      <c r="K447" s="8" t="n"/>
      <c r="L447" s="10" t="n"/>
      <c r="M447" s="8" t="n"/>
      <c r="N447" s="11">
        <f>IF(OR(J447="",H447="",I447=""),"",J447/((I447-H447)*1440))</f>
        <v/>
      </c>
      <c r="O447" s="7" t="n"/>
      <c r="P447" s="7" t="n"/>
      <c r="Q447" s="7" t="n"/>
      <c r="R447" s="12" t="n"/>
      <c r="S447" s="13">
        <f>IF(OR(R447="",J447=""),"",R447/J447-1)</f>
        <v/>
      </c>
      <c r="T447" s="14">
        <f>IF(OR(L447="",R447="",J447=""),"",SQRT(4+(L447^2-4)*(R447/J447)^2))</f>
        <v/>
      </c>
      <c r="U447" s="7" t="n"/>
      <c r="V447" s="7" t="n"/>
    </row>
    <row r="448">
      <c r="A448" s="7" t="inlineStr">
        <is>
          <t>B-3/4-3-i3</t>
        </is>
      </c>
      <c r="B448" s="7" t="inlineStr">
        <is>
          <t>3/4</t>
        </is>
      </c>
      <c r="C448" s="7" t="inlineStr">
        <is>
          <t>B</t>
        </is>
      </c>
      <c r="D448" s="7" t="inlineStr">
        <is>
          <t>B (.815)</t>
        </is>
      </c>
      <c r="E448" s="7" t="n">
        <v>3</v>
      </c>
      <c r="F448" s="7" t="n">
        <v>3</v>
      </c>
      <c r="G448" s="8" t="n"/>
      <c r="H448" s="27" t="n"/>
      <c r="I448" s="27" t="n"/>
      <c r="J448" s="8" t="n"/>
      <c r="K448" s="8" t="n"/>
      <c r="L448" s="10" t="n"/>
      <c r="M448" s="8" t="n"/>
      <c r="N448" s="11">
        <f>IF(OR(J448="",H448="",I448=""),"",J448/((I448-H448)*1440))</f>
        <v/>
      </c>
      <c r="O448" s="7" t="n"/>
      <c r="P448" s="7" t="n"/>
      <c r="Q448" s="7" t="n"/>
      <c r="R448" s="12" t="n"/>
      <c r="S448" s="13">
        <f>IF(OR(R448="",J448=""),"",R448/J448-1)</f>
        <v/>
      </c>
      <c r="T448" s="14">
        <f>IF(OR(L448="",R448="",J448=""),"",SQRT(4+(L448^2-4)*(R448/J448)^2))</f>
        <v/>
      </c>
      <c r="U448" s="7" t="n"/>
      <c r="V448" s="7" t="n"/>
    </row>
    <row r="449">
      <c r="A449" s="7" t="inlineStr">
        <is>
          <t>B-3/4-5-i1</t>
        </is>
      </c>
      <c r="B449" s="7" t="inlineStr">
        <is>
          <t>3/4</t>
        </is>
      </c>
      <c r="C449" s="7" t="inlineStr">
        <is>
          <t>B</t>
        </is>
      </c>
      <c r="D449" s="7" t="inlineStr">
        <is>
          <t>B (.815)</t>
        </is>
      </c>
      <c r="E449" s="7" t="n">
        <v>5</v>
      </c>
      <c r="F449" s="7" t="n">
        <v>1</v>
      </c>
      <c r="G449" s="8" t="n"/>
      <c r="H449" s="27" t="n"/>
      <c r="I449" s="27" t="n"/>
      <c r="J449" s="8" t="n"/>
      <c r="K449" s="8" t="n"/>
      <c r="L449" s="10" t="n"/>
      <c r="M449" s="8" t="n"/>
      <c r="N449" s="11">
        <f>IF(OR(J449="",H449="",I449=""),"",J449/((I449-H449)*1440))</f>
        <v/>
      </c>
      <c r="O449" s="7" t="n"/>
      <c r="P449" s="7" t="n"/>
      <c r="Q449" s="7" t="n"/>
      <c r="R449" s="12" t="n"/>
      <c r="S449" s="13">
        <f>IF(OR(R449="",J449=""),"",R449/J449-1)</f>
        <v/>
      </c>
      <c r="T449" s="14">
        <f>IF(OR(L449="",R449="",J449=""),"",SQRT(4+(L449^2-4)*(R449/J449)^2))</f>
        <v/>
      </c>
      <c r="U449" s="7" t="n"/>
      <c r="V449" s="7" t="n"/>
    </row>
    <row r="450">
      <c r="A450" s="7" t="inlineStr">
        <is>
          <t>B-3/4-5-i2</t>
        </is>
      </c>
      <c r="B450" s="7" t="inlineStr">
        <is>
          <t>3/4</t>
        </is>
      </c>
      <c r="C450" s="7" t="inlineStr">
        <is>
          <t>B</t>
        </is>
      </c>
      <c r="D450" s="7" t="inlineStr">
        <is>
          <t>B (.815)</t>
        </is>
      </c>
      <c r="E450" s="7" t="n">
        <v>5</v>
      </c>
      <c r="F450" s="7" t="n">
        <v>2</v>
      </c>
      <c r="G450" s="8" t="n"/>
      <c r="H450" s="27" t="n"/>
      <c r="I450" s="27" t="n"/>
      <c r="J450" s="8" t="n"/>
      <c r="K450" s="8" t="n"/>
      <c r="L450" s="10" t="n"/>
      <c r="M450" s="8" t="n"/>
      <c r="N450" s="11">
        <f>IF(OR(J450="",H450="",I450=""),"",J450/((I450-H450)*1440))</f>
        <v/>
      </c>
      <c r="O450" s="7" t="n"/>
      <c r="P450" s="7" t="n"/>
      <c r="Q450" s="7" t="n"/>
      <c r="R450" s="12" t="n"/>
      <c r="S450" s="13">
        <f>IF(OR(R450="",J450=""),"",R450/J450-1)</f>
        <v/>
      </c>
      <c r="T450" s="14">
        <f>IF(OR(L450="",R450="",J450=""),"",SQRT(4+(L450^2-4)*(R450/J450)^2))</f>
        <v/>
      </c>
      <c r="U450" s="7" t="n"/>
      <c r="V450" s="7" t="n"/>
    </row>
    <row r="451">
      <c r="A451" s="7" t="inlineStr">
        <is>
          <t>B-3/4-5-i3</t>
        </is>
      </c>
      <c r="B451" s="7" t="inlineStr">
        <is>
          <t>3/4</t>
        </is>
      </c>
      <c r="C451" s="7" t="inlineStr">
        <is>
          <t>B</t>
        </is>
      </c>
      <c r="D451" s="7" t="inlineStr">
        <is>
          <t>B (.815)</t>
        </is>
      </c>
      <c r="E451" s="7" t="n">
        <v>5</v>
      </c>
      <c r="F451" s="7" t="n">
        <v>3</v>
      </c>
      <c r="G451" s="8" t="n"/>
      <c r="H451" s="27" t="n"/>
      <c r="I451" s="27" t="n"/>
      <c r="J451" s="8" t="n"/>
      <c r="K451" s="8" t="n"/>
      <c r="L451" s="10" t="n"/>
      <c r="M451" s="8" t="n"/>
      <c r="N451" s="11">
        <f>IF(OR(J451="",H451="",I451=""),"",J451/((I451-H451)*1440))</f>
        <v/>
      </c>
      <c r="O451" s="7" t="n"/>
      <c r="P451" s="7" t="n"/>
      <c r="Q451" s="7" t="n"/>
      <c r="R451" s="12" t="n"/>
      <c r="S451" s="13">
        <f>IF(OR(R451="",J451=""),"",R451/J451-1)</f>
        <v/>
      </c>
      <c r="T451" s="14">
        <f>IF(OR(L451="",R451="",J451=""),"",SQRT(4+(L451^2-4)*(R451/J451)^2))</f>
        <v/>
      </c>
      <c r="U451" s="7" t="n"/>
      <c r="V451" s="7" t="n"/>
    </row>
    <row r="452">
      <c r="A452" s="7" t="inlineStr">
        <is>
          <t>B-3/4-10-i1</t>
        </is>
      </c>
      <c r="B452" s="7" t="inlineStr">
        <is>
          <t>3/4</t>
        </is>
      </c>
      <c r="C452" s="7" t="inlineStr">
        <is>
          <t>B</t>
        </is>
      </c>
      <c r="D452" s="7" t="inlineStr">
        <is>
          <t>B (.815)</t>
        </is>
      </c>
      <c r="E452" s="7" t="n">
        <v>10</v>
      </c>
      <c r="F452" s="7" t="n">
        <v>1</v>
      </c>
      <c r="G452" s="8" t="n"/>
      <c r="H452" s="27" t="n"/>
      <c r="I452" s="27" t="n"/>
      <c r="J452" s="8" t="n"/>
      <c r="K452" s="8" t="n"/>
      <c r="L452" s="10" t="n"/>
      <c r="M452" s="8" t="n"/>
      <c r="N452" s="11">
        <f>IF(OR(J452="",H452="",I452=""),"",J452/((I452-H452)*1440))</f>
        <v/>
      </c>
      <c r="O452" s="7" t="n"/>
      <c r="P452" s="7" t="n"/>
      <c r="Q452" s="7" t="n"/>
      <c r="R452" s="12" t="n"/>
      <c r="S452" s="13">
        <f>IF(OR(R452="",J452=""),"",R452/J452-1)</f>
        <v/>
      </c>
      <c r="T452" s="14">
        <f>IF(OR(L452="",R452="",J452=""),"",SQRT(4+(L452^2-4)*(R452/J452)^2))</f>
        <v/>
      </c>
      <c r="U452" s="7" t="n"/>
      <c r="V452" s="7" t="n"/>
    </row>
    <row r="453">
      <c r="A453" s="7" t="inlineStr">
        <is>
          <t>B-3/4-10-i2</t>
        </is>
      </c>
      <c r="B453" s="7" t="inlineStr">
        <is>
          <t>3/4</t>
        </is>
      </c>
      <c r="C453" s="7" t="inlineStr">
        <is>
          <t>B</t>
        </is>
      </c>
      <c r="D453" s="7" t="inlineStr">
        <is>
          <t>B (.815)</t>
        </is>
      </c>
      <c r="E453" s="7" t="n">
        <v>10</v>
      </c>
      <c r="F453" s="7" t="n">
        <v>2</v>
      </c>
      <c r="G453" s="8" t="n"/>
      <c r="H453" s="27" t="n"/>
      <c r="I453" s="27" t="n"/>
      <c r="J453" s="8" t="n"/>
      <c r="K453" s="8" t="n"/>
      <c r="L453" s="10" t="n"/>
      <c r="M453" s="8" t="n"/>
      <c r="N453" s="11">
        <f>IF(OR(J453="",H453="",I453=""),"",J453/((I453-H453)*1440))</f>
        <v/>
      </c>
      <c r="O453" s="7" t="n"/>
      <c r="P453" s="7" t="n"/>
      <c r="Q453" s="7" t="n"/>
      <c r="R453" s="12" t="n"/>
      <c r="S453" s="13">
        <f>IF(OR(R453="",J453=""),"",R453/J453-1)</f>
        <v/>
      </c>
      <c r="T453" s="14">
        <f>IF(OR(L453="",R453="",J453=""),"",SQRT(4+(L453^2-4)*(R453/J453)^2))</f>
        <v/>
      </c>
      <c r="U453" s="7" t="n"/>
      <c r="V453" s="7" t="n"/>
    </row>
    <row r="454">
      <c r="A454" s="7" t="inlineStr">
        <is>
          <t>B-3/4-10-i3</t>
        </is>
      </c>
      <c r="B454" s="7" t="inlineStr">
        <is>
          <t>3/4</t>
        </is>
      </c>
      <c r="C454" s="7" t="inlineStr">
        <is>
          <t>B</t>
        </is>
      </c>
      <c r="D454" s="7" t="inlineStr">
        <is>
          <t>B (.815)</t>
        </is>
      </c>
      <c r="E454" s="7" t="n">
        <v>10</v>
      </c>
      <c r="F454" s="7" t="n">
        <v>3</v>
      </c>
      <c r="G454" s="8" t="n"/>
      <c r="H454" s="27" t="n"/>
      <c r="I454" s="27" t="n"/>
      <c r="J454" s="8" t="n"/>
      <c r="K454" s="8" t="n"/>
      <c r="L454" s="10" t="n"/>
      <c r="M454" s="8" t="n"/>
      <c r="N454" s="11">
        <f>IF(OR(J454="",H454="",I454=""),"",J454/((I454-H454)*1440))</f>
        <v/>
      </c>
      <c r="O454" s="7" t="n"/>
      <c r="P454" s="7" t="n"/>
      <c r="Q454" s="7" t="n"/>
      <c r="R454" s="12" t="n"/>
      <c r="S454" s="13">
        <f>IF(OR(R454="",J454=""),"",R454/J454-1)</f>
        <v/>
      </c>
      <c r="T454" s="14">
        <f>IF(OR(L454="",R454="",J454=""),"",SQRT(4+(L454^2-4)*(R454/J454)^2))</f>
        <v/>
      </c>
      <c r="U454" s="7" t="n"/>
      <c r="V454" s="7" t="n"/>
    </row>
    <row r="455">
      <c r="A455" s="7" t="inlineStr">
        <is>
          <t>b-3/4-0.5-i1</t>
        </is>
      </c>
      <c r="B455" s="7" t="inlineStr">
        <is>
          <t>3/4</t>
        </is>
      </c>
      <c r="C455" s="7" t="inlineStr">
        <is>
          <t>b</t>
        </is>
      </c>
      <c r="D455" s="7" t="inlineStr">
        <is>
          <t>b (.825)</t>
        </is>
      </c>
      <c r="E455" s="7" t="n">
        <v>0.5</v>
      </c>
      <c r="F455" s="7" t="n">
        <v>1</v>
      </c>
      <c r="G455" s="8" t="n"/>
      <c r="H455" s="27" t="n"/>
      <c r="I455" s="27" t="n"/>
      <c r="J455" s="8" t="n"/>
      <c r="K455" s="8" t="n"/>
      <c r="L455" s="10" t="n"/>
      <c r="M455" s="8" t="n"/>
      <c r="N455" s="11">
        <f>IF(OR(J455="",H455="",I455=""),"",J455/((I455-H455)*1440))</f>
        <v/>
      </c>
      <c r="O455" s="7" t="n"/>
      <c r="P455" s="7" t="n"/>
      <c r="Q455" s="7" t="n"/>
      <c r="R455" s="12" t="n"/>
      <c r="S455" s="13">
        <f>IF(OR(R455="",J455=""),"",R455/J455-1)</f>
        <v/>
      </c>
      <c r="T455" s="14">
        <f>IF(OR(L455="",R455="",J455=""),"",SQRT(4+(L455^2-4)*(R455/J455)^2))</f>
        <v/>
      </c>
      <c r="U455" s="7" t="n"/>
      <c r="V455" s="7" t="n"/>
    </row>
    <row r="456">
      <c r="A456" s="7" t="inlineStr">
        <is>
          <t>b-3/4-0.5-i2</t>
        </is>
      </c>
      <c r="B456" s="7" t="inlineStr">
        <is>
          <t>3/4</t>
        </is>
      </c>
      <c r="C456" s="7" t="inlineStr">
        <is>
          <t>b</t>
        </is>
      </c>
      <c r="D456" s="7" t="inlineStr">
        <is>
          <t>b (.825)</t>
        </is>
      </c>
      <c r="E456" s="7" t="n">
        <v>0.5</v>
      </c>
      <c r="F456" s="7" t="n">
        <v>2</v>
      </c>
      <c r="G456" s="8" t="n"/>
      <c r="H456" s="27" t="n"/>
      <c r="I456" s="27" t="n"/>
      <c r="J456" s="8" t="n"/>
      <c r="K456" s="8" t="n"/>
      <c r="L456" s="10" t="n"/>
      <c r="M456" s="8" t="n"/>
      <c r="N456" s="11">
        <f>IF(OR(J456="",H456="",I456=""),"",J456/((I456-H456)*1440))</f>
        <v/>
      </c>
      <c r="O456" s="7" t="n"/>
      <c r="P456" s="7" t="n"/>
      <c r="Q456" s="7" t="n"/>
      <c r="R456" s="12" t="n"/>
      <c r="S456" s="13">
        <f>IF(OR(R456="",J456=""),"",R456/J456-1)</f>
        <v/>
      </c>
      <c r="T456" s="14">
        <f>IF(OR(L456="",R456="",J456=""),"",SQRT(4+(L456^2-4)*(R456/J456)^2))</f>
        <v/>
      </c>
      <c r="U456" s="7" t="n"/>
      <c r="V456" s="7" t="n"/>
    </row>
    <row r="457">
      <c r="A457" s="7" t="inlineStr">
        <is>
          <t>b-3/4-0.5-i3</t>
        </is>
      </c>
      <c r="B457" s="7" t="inlineStr">
        <is>
          <t>3/4</t>
        </is>
      </c>
      <c r="C457" s="7" t="inlineStr">
        <is>
          <t>b</t>
        </is>
      </c>
      <c r="D457" s="7" t="inlineStr">
        <is>
          <t>b (.825)</t>
        </is>
      </c>
      <c r="E457" s="7" t="n">
        <v>0.5</v>
      </c>
      <c r="F457" s="7" t="n">
        <v>3</v>
      </c>
      <c r="G457" s="8" t="n"/>
      <c r="H457" s="27" t="n"/>
      <c r="I457" s="27" t="n"/>
      <c r="J457" s="8" t="n"/>
      <c r="K457" s="8" t="n"/>
      <c r="L457" s="10" t="n"/>
      <c r="M457" s="8" t="n"/>
      <c r="N457" s="11">
        <f>IF(OR(J457="",H457="",I457=""),"",J457/((I457-H457)*1440))</f>
        <v/>
      </c>
      <c r="O457" s="7" t="n"/>
      <c r="P457" s="7" t="n"/>
      <c r="Q457" s="7" t="n"/>
      <c r="R457" s="12" t="n"/>
      <c r="S457" s="13">
        <f>IF(OR(R457="",J457=""),"",R457/J457-1)</f>
        <v/>
      </c>
      <c r="T457" s="14">
        <f>IF(OR(L457="",R457="",J457=""),"",SQRT(4+(L457^2-4)*(R457/J457)^2))</f>
        <v/>
      </c>
      <c r="U457" s="7" t="n"/>
      <c r="V457" s="7" t="n"/>
    </row>
    <row r="458">
      <c r="A458" s="7" t="inlineStr">
        <is>
          <t>b-3/4-1-i1</t>
        </is>
      </c>
      <c r="B458" s="7" t="inlineStr">
        <is>
          <t>3/4</t>
        </is>
      </c>
      <c r="C458" s="7" t="inlineStr">
        <is>
          <t>b</t>
        </is>
      </c>
      <c r="D458" s="7" t="inlineStr">
        <is>
          <t>b (.825)</t>
        </is>
      </c>
      <c r="E458" s="7" t="n">
        <v>1</v>
      </c>
      <c r="F458" s="7" t="n">
        <v>1</v>
      </c>
      <c r="G458" s="8" t="n"/>
      <c r="H458" s="27" t="n"/>
      <c r="I458" s="27" t="n"/>
      <c r="J458" s="8" t="n"/>
      <c r="K458" s="8" t="n"/>
      <c r="L458" s="10" t="n"/>
      <c r="M458" s="8" t="n"/>
      <c r="N458" s="11">
        <f>IF(OR(J458="",H458="",I458=""),"",J458/((I458-H458)*1440))</f>
        <v/>
      </c>
      <c r="O458" s="7" t="n"/>
      <c r="P458" s="7" t="n"/>
      <c r="Q458" s="7" t="n"/>
      <c r="R458" s="12" t="n"/>
      <c r="S458" s="13">
        <f>IF(OR(R458="",J458=""),"",R458/J458-1)</f>
        <v/>
      </c>
      <c r="T458" s="14">
        <f>IF(OR(L458="",R458="",J458=""),"",SQRT(4+(L458^2-4)*(R458/J458)^2))</f>
        <v/>
      </c>
      <c r="U458" s="7" t="n"/>
      <c r="V458" s="7" t="n"/>
    </row>
    <row r="459">
      <c r="A459" s="7" t="inlineStr">
        <is>
          <t>b-3/4-1-i2</t>
        </is>
      </c>
      <c r="B459" s="7" t="inlineStr">
        <is>
          <t>3/4</t>
        </is>
      </c>
      <c r="C459" s="7" t="inlineStr">
        <is>
          <t>b</t>
        </is>
      </c>
      <c r="D459" s="7" t="inlineStr">
        <is>
          <t>b (.825)</t>
        </is>
      </c>
      <c r="E459" s="7" t="n">
        <v>1</v>
      </c>
      <c r="F459" s="7" t="n">
        <v>2</v>
      </c>
      <c r="G459" s="8" t="n"/>
      <c r="H459" s="27" t="n"/>
      <c r="I459" s="27" t="n"/>
      <c r="J459" s="8" t="n"/>
      <c r="K459" s="8" t="n"/>
      <c r="L459" s="10" t="n"/>
      <c r="M459" s="8" t="n"/>
      <c r="N459" s="11">
        <f>IF(OR(J459="",H459="",I459=""),"",J459/((I459-H459)*1440))</f>
        <v/>
      </c>
      <c r="O459" s="7" t="n"/>
      <c r="P459" s="7" t="n"/>
      <c r="Q459" s="7" t="n"/>
      <c r="R459" s="12" t="n"/>
      <c r="S459" s="13">
        <f>IF(OR(R459="",J459=""),"",R459/J459-1)</f>
        <v/>
      </c>
      <c r="T459" s="14">
        <f>IF(OR(L459="",R459="",J459=""),"",SQRT(4+(L459^2-4)*(R459/J459)^2))</f>
        <v/>
      </c>
      <c r="U459" s="7" t="n"/>
      <c r="V459" s="7" t="n"/>
    </row>
    <row r="460">
      <c r="A460" s="7" t="inlineStr">
        <is>
          <t>b-3/4-1-i3</t>
        </is>
      </c>
      <c r="B460" s="7" t="inlineStr">
        <is>
          <t>3/4</t>
        </is>
      </c>
      <c r="C460" s="7" t="inlineStr">
        <is>
          <t>b</t>
        </is>
      </c>
      <c r="D460" s="7" t="inlineStr">
        <is>
          <t>b (.825)</t>
        </is>
      </c>
      <c r="E460" s="7" t="n">
        <v>1</v>
      </c>
      <c r="F460" s="7" t="n">
        <v>3</v>
      </c>
      <c r="G460" s="8" t="n"/>
      <c r="H460" s="27" t="n"/>
      <c r="I460" s="27" t="n"/>
      <c r="J460" s="8" t="n"/>
      <c r="K460" s="8" t="n"/>
      <c r="L460" s="10" t="n"/>
      <c r="M460" s="8" t="n"/>
      <c r="N460" s="11">
        <f>IF(OR(J460="",H460="",I460=""),"",J460/((I460-H460)*1440))</f>
        <v/>
      </c>
      <c r="O460" s="7" t="n"/>
      <c r="P460" s="7" t="n"/>
      <c r="Q460" s="7" t="n"/>
      <c r="R460" s="12" t="n"/>
      <c r="S460" s="13">
        <f>IF(OR(R460="",J460=""),"",R460/J460-1)</f>
        <v/>
      </c>
      <c r="T460" s="14">
        <f>IF(OR(L460="",R460="",J460=""),"",SQRT(4+(L460^2-4)*(R460/J460)^2))</f>
        <v/>
      </c>
      <c r="U460" s="7" t="n"/>
      <c r="V460" s="7" t="n"/>
    </row>
    <row r="461">
      <c r="A461" s="7" t="inlineStr">
        <is>
          <t>b-3/4-3-i1</t>
        </is>
      </c>
      <c r="B461" s="7" t="inlineStr">
        <is>
          <t>3/4</t>
        </is>
      </c>
      <c r="C461" s="7" t="inlineStr">
        <is>
          <t>b</t>
        </is>
      </c>
      <c r="D461" s="7" t="inlineStr">
        <is>
          <t>b (.825)</t>
        </is>
      </c>
      <c r="E461" s="7" t="n">
        <v>3</v>
      </c>
      <c r="F461" s="7" t="n">
        <v>1</v>
      </c>
      <c r="G461" s="8" t="n"/>
      <c r="H461" s="27" t="n"/>
      <c r="I461" s="27" t="n"/>
      <c r="J461" s="8" t="n"/>
      <c r="K461" s="8" t="n"/>
      <c r="L461" s="10" t="n"/>
      <c r="M461" s="8" t="n"/>
      <c r="N461" s="11">
        <f>IF(OR(J461="",H461="",I461=""),"",J461/((I461-H461)*1440))</f>
        <v/>
      </c>
      <c r="O461" s="7" t="n"/>
      <c r="P461" s="7" t="n"/>
      <c r="Q461" s="7" t="n"/>
      <c r="R461" s="12" t="n"/>
      <c r="S461" s="13">
        <f>IF(OR(R461="",J461=""),"",R461/J461-1)</f>
        <v/>
      </c>
      <c r="T461" s="14">
        <f>IF(OR(L461="",R461="",J461=""),"",SQRT(4+(L461^2-4)*(R461/J461)^2))</f>
        <v/>
      </c>
      <c r="U461" s="7" t="n"/>
      <c r="V461" s="7" t="n"/>
    </row>
    <row r="462">
      <c r="A462" s="7" t="inlineStr">
        <is>
          <t>b-3/4-3-i2</t>
        </is>
      </c>
      <c r="B462" s="7" t="inlineStr">
        <is>
          <t>3/4</t>
        </is>
      </c>
      <c r="C462" s="7" t="inlineStr">
        <is>
          <t>b</t>
        </is>
      </c>
      <c r="D462" s="7" t="inlineStr">
        <is>
          <t>b (.825)</t>
        </is>
      </c>
      <c r="E462" s="7" t="n">
        <v>3</v>
      </c>
      <c r="F462" s="7" t="n">
        <v>2</v>
      </c>
      <c r="G462" s="8" t="n"/>
      <c r="H462" s="27" t="n"/>
      <c r="I462" s="27" t="n"/>
      <c r="J462" s="8" t="n"/>
      <c r="K462" s="8" t="n"/>
      <c r="L462" s="10" t="n"/>
      <c r="M462" s="8" t="n"/>
      <c r="N462" s="11">
        <f>IF(OR(J462="",H462="",I462=""),"",J462/((I462-H462)*1440))</f>
        <v/>
      </c>
      <c r="O462" s="7" t="n"/>
      <c r="P462" s="7" t="n"/>
      <c r="Q462" s="7" t="n"/>
      <c r="R462" s="12" t="n"/>
      <c r="S462" s="13">
        <f>IF(OR(R462="",J462=""),"",R462/J462-1)</f>
        <v/>
      </c>
      <c r="T462" s="14">
        <f>IF(OR(L462="",R462="",J462=""),"",SQRT(4+(L462^2-4)*(R462/J462)^2))</f>
        <v/>
      </c>
      <c r="U462" s="7" t="n"/>
      <c r="V462" s="7" t="n"/>
    </row>
    <row r="463">
      <c r="A463" s="7" t="inlineStr">
        <is>
          <t>b-3/4-3-i3</t>
        </is>
      </c>
      <c r="B463" s="7" t="inlineStr">
        <is>
          <t>3/4</t>
        </is>
      </c>
      <c r="C463" s="7" t="inlineStr">
        <is>
          <t>b</t>
        </is>
      </c>
      <c r="D463" s="7" t="inlineStr">
        <is>
          <t>b (.825)</t>
        </is>
      </c>
      <c r="E463" s="7" t="n">
        <v>3</v>
      </c>
      <c r="F463" s="7" t="n">
        <v>3</v>
      </c>
      <c r="G463" s="8" t="n"/>
      <c r="H463" s="27" t="n"/>
      <c r="I463" s="27" t="n"/>
      <c r="J463" s="8" t="n"/>
      <c r="K463" s="8" t="n"/>
      <c r="L463" s="10" t="n"/>
      <c r="M463" s="8" t="n"/>
      <c r="N463" s="11">
        <f>IF(OR(J463="",H463="",I463=""),"",J463/((I463-H463)*1440))</f>
        <v/>
      </c>
      <c r="O463" s="7" t="n"/>
      <c r="P463" s="7" t="n"/>
      <c r="Q463" s="7" t="n"/>
      <c r="R463" s="12" t="n"/>
      <c r="S463" s="13">
        <f>IF(OR(R463="",J463=""),"",R463/J463-1)</f>
        <v/>
      </c>
      <c r="T463" s="14">
        <f>IF(OR(L463="",R463="",J463=""),"",SQRT(4+(L463^2-4)*(R463/J463)^2))</f>
        <v/>
      </c>
      <c r="U463" s="7" t="n"/>
      <c r="V463" s="7" t="n"/>
    </row>
    <row r="464">
      <c r="A464" s="7" t="inlineStr">
        <is>
          <t>b-3/4-5-i1</t>
        </is>
      </c>
      <c r="B464" s="7" t="inlineStr">
        <is>
          <t>3/4</t>
        </is>
      </c>
      <c r="C464" s="7" t="inlineStr">
        <is>
          <t>b</t>
        </is>
      </c>
      <c r="D464" s="7" t="inlineStr">
        <is>
          <t>b (.825)</t>
        </is>
      </c>
      <c r="E464" s="7" t="n">
        <v>5</v>
      </c>
      <c r="F464" s="7" t="n">
        <v>1</v>
      </c>
      <c r="G464" s="8" t="n"/>
      <c r="H464" s="27" t="n"/>
      <c r="I464" s="27" t="n"/>
      <c r="J464" s="8" t="n"/>
      <c r="K464" s="8" t="n"/>
      <c r="L464" s="10" t="n"/>
      <c r="M464" s="8" t="n"/>
      <c r="N464" s="11">
        <f>IF(OR(J464="",H464="",I464=""),"",J464/((I464-H464)*1440))</f>
        <v/>
      </c>
      <c r="O464" s="7" t="n"/>
      <c r="P464" s="7" t="n"/>
      <c r="Q464" s="7" t="n"/>
      <c r="R464" s="12" t="n"/>
      <c r="S464" s="13">
        <f>IF(OR(R464="",J464=""),"",R464/J464-1)</f>
        <v/>
      </c>
      <c r="T464" s="14">
        <f>IF(OR(L464="",R464="",J464=""),"",SQRT(4+(L464^2-4)*(R464/J464)^2))</f>
        <v/>
      </c>
      <c r="U464" s="7" t="n"/>
      <c r="V464" s="7" t="n"/>
    </row>
    <row r="465">
      <c r="A465" s="7" t="inlineStr">
        <is>
          <t>b-3/4-5-i2</t>
        </is>
      </c>
      <c r="B465" s="7" t="inlineStr">
        <is>
          <t>3/4</t>
        </is>
      </c>
      <c r="C465" s="7" t="inlineStr">
        <is>
          <t>b</t>
        </is>
      </c>
      <c r="D465" s="7" t="inlineStr">
        <is>
          <t>b (.825)</t>
        </is>
      </c>
      <c r="E465" s="7" t="n">
        <v>5</v>
      </c>
      <c r="F465" s="7" t="n">
        <v>2</v>
      </c>
      <c r="G465" s="8" t="n"/>
      <c r="H465" s="27" t="n"/>
      <c r="I465" s="27" t="n"/>
      <c r="J465" s="8" t="n"/>
      <c r="K465" s="8" t="n"/>
      <c r="L465" s="10" t="n"/>
      <c r="M465" s="8" t="n"/>
      <c r="N465" s="11">
        <f>IF(OR(J465="",H465="",I465=""),"",J465/((I465-H465)*1440))</f>
        <v/>
      </c>
      <c r="O465" s="7" t="n"/>
      <c r="P465" s="7" t="n"/>
      <c r="Q465" s="7" t="n"/>
      <c r="R465" s="12" t="n"/>
      <c r="S465" s="13">
        <f>IF(OR(R465="",J465=""),"",R465/J465-1)</f>
        <v/>
      </c>
      <c r="T465" s="14">
        <f>IF(OR(L465="",R465="",J465=""),"",SQRT(4+(L465^2-4)*(R465/J465)^2))</f>
        <v/>
      </c>
      <c r="U465" s="7" t="n"/>
      <c r="V465" s="7" t="n"/>
    </row>
    <row r="466">
      <c r="A466" s="7" t="inlineStr">
        <is>
          <t>b-3/4-5-i3</t>
        </is>
      </c>
      <c r="B466" s="7" t="inlineStr">
        <is>
          <t>3/4</t>
        </is>
      </c>
      <c r="C466" s="7" t="inlineStr">
        <is>
          <t>b</t>
        </is>
      </c>
      <c r="D466" s="7" t="inlineStr">
        <is>
          <t>b (.825)</t>
        </is>
      </c>
      <c r="E466" s="7" t="n">
        <v>5</v>
      </c>
      <c r="F466" s="7" t="n">
        <v>3</v>
      </c>
      <c r="G466" s="8" t="n"/>
      <c r="H466" s="27" t="n"/>
      <c r="I466" s="27" t="n"/>
      <c r="J466" s="8" t="n"/>
      <c r="K466" s="8" t="n"/>
      <c r="L466" s="10" t="n"/>
      <c r="M466" s="8" t="n"/>
      <c r="N466" s="11">
        <f>IF(OR(J466="",H466="",I466=""),"",J466/((I466-H466)*1440))</f>
        <v/>
      </c>
      <c r="O466" s="7" t="n"/>
      <c r="P466" s="7" t="n"/>
      <c r="Q466" s="7" t="n"/>
      <c r="R466" s="12" t="n"/>
      <c r="S466" s="13">
        <f>IF(OR(R466="",J466=""),"",R466/J466-1)</f>
        <v/>
      </c>
      <c r="T466" s="14">
        <f>IF(OR(L466="",R466="",J466=""),"",SQRT(4+(L466^2-4)*(R466/J466)^2))</f>
        <v/>
      </c>
      <c r="U466" s="7" t="n"/>
      <c r="V466" s="7" t="n"/>
    </row>
    <row r="467">
      <c r="A467" s="7" t="inlineStr">
        <is>
          <t>b-3/4-10-i1</t>
        </is>
      </c>
      <c r="B467" s="7" t="inlineStr">
        <is>
          <t>3/4</t>
        </is>
      </c>
      <c r="C467" s="7" t="inlineStr">
        <is>
          <t>b</t>
        </is>
      </c>
      <c r="D467" s="7" t="inlineStr">
        <is>
          <t>b (.825)</t>
        </is>
      </c>
      <c r="E467" s="7" t="n">
        <v>10</v>
      </c>
      <c r="F467" s="7" t="n">
        <v>1</v>
      </c>
      <c r="G467" s="8" t="n"/>
      <c r="H467" s="27" t="n"/>
      <c r="I467" s="27" t="n"/>
      <c r="J467" s="8" t="n"/>
      <c r="K467" s="8" t="n"/>
      <c r="L467" s="10" t="n"/>
      <c r="M467" s="8" t="n"/>
      <c r="N467" s="11">
        <f>IF(OR(J467="",H467="",I467=""),"",J467/((I467-H467)*1440))</f>
        <v/>
      </c>
      <c r="O467" s="7" t="n"/>
      <c r="P467" s="7" t="n"/>
      <c r="Q467" s="7" t="n"/>
      <c r="R467" s="12" t="n"/>
      <c r="S467" s="13">
        <f>IF(OR(R467="",J467=""),"",R467/J467-1)</f>
        <v/>
      </c>
      <c r="T467" s="14">
        <f>IF(OR(L467="",R467="",J467=""),"",SQRT(4+(L467^2-4)*(R467/J467)^2))</f>
        <v/>
      </c>
      <c r="U467" s="7" t="n"/>
      <c r="V467" s="7" t="n"/>
    </row>
    <row r="468">
      <c r="A468" s="7" t="inlineStr">
        <is>
          <t>b-3/4-10-i2</t>
        </is>
      </c>
      <c r="B468" s="7" t="inlineStr">
        <is>
          <t>3/4</t>
        </is>
      </c>
      <c r="C468" s="7" t="inlineStr">
        <is>
          <t>b</t>
        </is>
      </c>
      <c r="D468" s="7" t="inlineStr">
        <is>
          <t>b (.825)</t>
        </is>
      </c>
      <c r="E468" s="7" t="n">
        <v>10</v>
      </c>
      <c r="F468" s="7" t="n">
        <v>2</v>
      </c>
      <c r="G468" s="8" t="n"/>
      <c r="H468" s="27" t="n"/>
      <c r="I468" s="27" t="n"/>
      <c r="J468" s="8" t="n"/>
      <c r="K468" s="8" t="n"/>
      <c r="L468" s="10" t="n"/>
      <c r="M468" s="8" t="n"/>
      <c r="N468" s="11">
        <f>IF(OR(J468="",H468="",I468=""),"",J468/((I468-H468)*1440))</f>
        <v/>
      </c>
      <c r="O468" s="7" t="n"/>
      <c r="P468" s="7" t="n"/>
      <c r="Q468" s="7" t="n"/>
      <c r="R468" s="12" t="n"/>
      <c r="S468" s="13">
        <f>IF(OR(R468="",J468=""),"",R468/J468-1)</f>
        <v/>
      </c>
      <c r="T468" s="14">
        <f>IF(OR(L468="",R468="",J468=""),"",SQRT(4+(L468^2-4)*(R468/J468)^2))</f>
        <v/>
      </c>
      <c r="U468" s="7" t="n"/>
      <c r="V468" s="7" t="n"/>
    </row>
    <row r="469">
      <c r="A469" s="7" t="inlineStr">
        <is>
          <t>b-3/4-10-i3</t>
        </is>
      </c>
      <c r="B469" s="7" t="inlineStr">
        <is>
          <t>3/4</t>
        </is>
      </c>
      <c r="C469" s="7" t="inlineStr">
        <is>
          <t>b</t>
        </is>
      </c>
      <c r="D469" s="7" t="inlineStr">
        <is>
          <t>b (.825)</t>
        </is>
      </c>
      <c r="E469" s="7" t="n">
        <v>10</v>
      </c>
      <c r="F469" s="7" t="n">
        <v>3</v>
      </c>
      <c r="G469" s="8" t="n"/>
      <c r="H469" s="27" t="n"/>
      <c r="I469" s="27" t="n"/>
      <c r="J469" s="8" t="n"/>
      <c r="K469" s="8" t="n"/>
      <c r="L469" s="10" t="n"/>
      <c r="M469" s="8" t="n"/>
      <c r="N469" s="11">
        <f>IF(OR(J469="",H469="",I469=""),"",J469/((I469-H469)*1440))</f>
        <v/>
      </c>
      <c r="O469" s="7" t="n"/>
      <c r="P469" s="7" t="n"/>
      <c r="Q469" s="7" t="n"/>
      <c r="R469" s="12" t="n"/>
      <c r="S469" s="13">
        <f>IF(OR(R469="",J469=""),"",R469/J469-1)</f>
        <v/>
      </c>
      <c r="T469" s="14">
        <f>IF(OR(L469="",R469="",J469=""),"",SQRT(4+(L469^2-4)*(R469/J469)^2))</f>
        <v/>
      </c>
      <c r="U469" s="7" t="n"/>
      <c r="V469" s="7" t="n"/>
    </row>
    <row r="470">
      <c r="A470" s="7" t="inlineStr">
        <is>
          <t>C-3/4-0.5-i1</t>
        </is>
      </c>
      <c r="B470" s="7" t="inlineStr">
        <is>
          <t>3/4</t>
        </is>
      </c>
      <c r="C470" s="7" t="inlineStr">
        <is>
          <t>C</t>
        </is>
      </c>
      <c r="D470" s="7" t="inlineStr">
        <is>
          <t>C</t>
        </is>
      </c>
      <c r="E470" s="7" t="n">
        <v>0.5</v>
      </c>
      <c r="F470" s="7" t="n">
        <v>1</v>
      </c>
      <c r="G470" s="8" t="n"/>
      <c r="H470" s="27" t="n"/>
      <c r="I470" s="27" t="n"/>
      <c r="J470" s="8" t="n"/>
      <c r="K470" s="8" t="n"/>
      <c r="L470" s="10" t="n"/>
      <c r="M470" s="8" t="n"/>
      <c r="N470" s="11">
        <f>IF(OR(J470="",H470="",I470=""),"",J470/((I470-H470)*1440))</f>
        <v/>
      </c>
      <c r="O470" s="7" t="n"/>
      <c r="P470" s="7" t="n"/>
      <c r="Q470" s="7" t="n"/>
      <c r="R470" s="12" t="n"/>
      <c r="S470" s="13">
        <f>IF(OR(R470="",J470=""),"",R470/J470-1)</f>
        <v/>
      </c>
      <c r="T470" s="14">
        <f>IF(OR(L470="",R470="",J470=""),"",SQRT(4+(L470^2-4)*(R470/J470)^2))</f>
        <v/>
      </c>
      <c r="U470" s="7" t="n"/>
      <c r="V470" s="7" t="n"/>
    </row>
    <row r="471">
      <c r="A471" s="7" t="inlineStr">
        <is>
          <t>C-3/4-0.5-i2</t>
        </is>
      </c>
      <c r="B471" s="7" t="inlineStr">
        <is>
          <t>3/4</t>
        </is>
      </c>
      <c r="C471" s="7" t="inlineStr">
        <is>
          <t>C</t>
        </is>
      </c>
      <c r="D471" s="7" t="inlineStr">
        <is>
          <t>C</t>
        </is>
      </c>
      <c r="E471" s="7" t="n">
        <v>0.5</v>
      </c>
      <c r="F471" s="7" t="n">
        <v>2</v>
      </c>
      <c r="G471" s="8" t="n"/>
      <c r="H471" s="27" t="n"/>
      <c r="I471" s="27" t="n"/>
      <c r="J471" s="8" t="n"/>
      <c r="K471" s="8" t="n"/>
      <c r="L471" s="10" t="n"/>
      <c r="M471" s="8" t="n"/>
      <c r="N471" s="11">
        <f>IF(OR(J471="",H471="",I471=""),"",J471/((I471-H471)*1440))</f>
        <v/>
      </c>
      <c r="O471" s="7" t="n"/>
      <c r="P471" s="7" t="n"/>
      <c r="Q471" s="7" t="n"/>
      <c r="R471" s="12" t="n"/>
      <c r="S471" s="13">
        <f>IF(OR(R471="",J471=""),"",R471/J471-1)</f>
        <v/>
      </c>
      <c r="T471" s="14">
        <f>IF(OR(L471="",R471="",J471=""),"",SQRT(4+(L471^2-4)*(R471/J471)^2))</f>
        <v/>
      </c>
      <c r="U471" s="7" t="n"/>
      <c r="V471" s="7" t="n"/>
    </row>
    <row r="472">
      <c r="A472" s="7" t="inlineStr">
        <is>
          <t>C-3/4-0.5-i3</t>
        </is>
      </c>
      <c r="B472" s="7" t="inlineStr">
        <is>
          <t>3/4</t>
        </is>
      </c>
      <c r="C472" s="7" t="inlineStr">
        <is>
          <t>C</t>
        </is>
      </c>
      <c r="D472" s="7" t="inlineStr">
        <is>
          <t>C</t>
        </is>
      </c>
      <c r="E472" s="7" t="n">
        <v>0.5</v>
      </c>
      <c r="F472" s="7" t="n">
        <v>3</v>
      </c>
      <c r="G472" s="8" t="n"/>
      <c r="H472" s="27" t="n"/>
      <c r="I472" s="27" t="n"/>
      <c r="J472" s="8" t="n"/>
      <c r="K472" s="8" t="n"/>
      <c r="L472" s="10" t="n"/>
      <c r="M472" s="8" t="n"/>
      <c r="N472" s="11">
        <f>IF(OR(J472="",H472="",I472=""),"",J472/((I472-H472)*1440))</f>
        <v/>
      </c>
      <c r="O472" s="7" t="n"/>
      <c r="P472" s="7" t="n"/>
      <c r="Q472" s="7" t="n"/>
      <c r="R472" s="12" t="n"/>
      <c r="S472" s="13">
        <f>IF(OR(R472="",J472=""),"",R472/J472-1)</f>
        <v/>
      </c>
      <c r="T472" s="14">
        <f>IF(OR(L472="",R472="",J472=""),"",SQRT(4+(L472^2-4)*(R472/J472)^2))</f>
        <v/>
      </c>
      <c r="U472" s="7" t="n"/>
      <c r="V472" s="7" t="n"/>
    </row>
    <row r="473">
      <c r="A473" s="7" t="inlineStr">
        <is>
          <t>C-3/4-1-i1</t>
        </is>
      </c>
      <c r="B473" s="7" t="inlineStr">
        <is>
          <t>3/4</t>
        </is>
      </c>
      <c r="C473" s="7" t="inlineStr">
        <is>
          <t>C</t>
        </is>
      </c>
      <c r="D473" s="7" t="inlineStr">
        <is>
          <t>C</t>
        </is>
      </c>
      <c r="E473" s="7" t="n">
        <v>1</v>
      </c>
      <c r="F473" s="7" t="n">
        <v>1</v>
      </c>
      <c r="G473" s="8" t="n"/>
      <c r="H473" s="27" t="n"/>
      <c r="I473" s="27" t="n"/>
      <c r="J473" s="8" t="n"/>
      <c r="K473" s="8" t="n"/>
      <c r="L473" s="10" t="n"/>
      <c r="M473" s="8" t="n"/>
      <c r="N473" s="11">
        <f>IF(OR(J473="",H473="",I473=""),"",J473/((I473-H473)*1440))</f>
        <v/>
      </c>
      <c r="O473" s="7" t="n"/>
      <c r="P473" s="7" t="n"/>
      <c r="Q473" s="7" t="n"/>
      <c r="R473" s="12" t="n"/>
      <c r="S473" s="13">
        <f>IF(OR(R473="",J473=""),"",R473/J473-1)</f>
        <v/>
      </c>
      <c r="T473" s="14">
        <f>IF(OR(L473="",R473="",J473=""),"",SQRT(4+(L473^2-4)*(R473/J473)^2))</f>
        <v/>
      </c>
      <c r="U473" s="7" t="n"/>
      <c r="V473" s="7" t="n"/>
    </row>
    <row r="474">
      <c r="A474" s="7" t="inlineStr">
        <is>
          <t>C-3/4-1-i2</t>
        </is>
      </c>
      <c r="B474" s="7" t="inlineStr">
        <is>
          <t>3/4</t>
        </is>
      </c>
      <c r="C474" s="7" t="inlineStr">
        <is>
          <t>C</t>
        </is>
      </c>
      <c r="D474" s="7" t="inlineStr">
        <is>
          <t>C</t>
        </is>
      </c>
      <c r="E474" s="7" t="n">
        <v>1</v>
      </c>
      <c r="F474" s="7" t="n">
        <v>2</v>
      </c>
      <c r="G474" s="8" t="n"/>
      <c r="H474" s="27" t="n"/>
      <c r="I474" s="27" t="n"/>
      <c r="J474" s="8" t="n"/>
      <c r="K474" s="8" t="n"/>
      <c r="L474" s="10" t="n"/>
      <c r="M474" s="8" t="n"/>
      <c r="N474" s="11">
        <f>IF(OR(J474="",H474="",I474=""),"",J474/((I474-H474)*1440))</f>
        <v/>
      </c>
      <c r="O474" s="7" t="n"/>
      <c r="P474" s="7" t="n"/>
      <c r="Q474" s="7" t="n"/>
      <c r="R474" s="12" t="n"/>
      <c r="S474" s="13">
        <f>IF(OR(R474="",J474=""),"",R474/J474-1)</f>
        <v/>
      </c>
      <c r="T474" s="14">
        <f>IF(OR(L474="",R474="",J474=""),"",SQRT(4+(L474^2-4)*(R474/J474)^2))</f>
        <v/>
      </c>
      <c r="U474" s="7" t="n"/>
      <c r="V474" s="7" t="n"/>
    </row>
    <row r="475">
      <c r="A475" s="7" t="inlineStr">
        <is>
          <t>C-3/4-1-i3</t>
        </is>
      </c>
      <c r="B475" s="7" t="inlineStr">
        <is>
          <t>3/4</t>
        </is>
      </c>
      <c r="C475" s="7" t="inlineStr">
        <is>
          <t>C</t>
        </is>
      </c>
      <c r="D475" s="7" t="inlineStr">
        <is>
          <t>C</t>
        </is>
      </c>
      <c r="E475" s="7" t="n">
        <v>1</v>
      </c>
      <c r="F475" s="7" t="n">
        <v>3</v>
      </c>
      <c r="G475" s="8" t="n"/>
      <c r="H475" s="27" t="n"/>
      <c r="I475" s="27" t="n"/>
      <c r="J475" s="8" t="n"/>
      <c r="K475" s="8" t="n"/>
      <c r="L475" s="10" t="n"/>
      <c r="M475" s="8" t="n"/>
      <c r="N475" s="11">
        <f>IF(OR(J475="",H475="",I475=""),"",J475/((I475-H475)*1440))</f>
        <v/>
      </c>
      <c r="O475" s="7" t="n"/>
      <c r="P475" s="7" t="n"/>
      <c r="Q475" s="7" t="n"/>
      <c r="R475" s="12" t="n"/>
      <c r="S475" s="13">
        <f>IF(OR(R475="",J475=""),"",R475/J475-1)</f>
        <v/>
      </c>
      <c r="T475" s="14">
        <f>IF(OR(L475="",R475="",J475=""),"",SQRT(4+(L475^2-4)*(R475/J475)^2))</f>
        <v/>
      </c>
      <c r="U475" s="7" t="n"/>
      <c r="V475" s="7" t="n"/>
    </row>
    <row r="476">
      <c r="A476" s="7" t="inlineStr">
        <is>
          <t>C-3/4-3-i1</t>
        </is>
      </c>
      <c r="B476" s="7" t="inlineStr">
        <is>
          <t>3/4</t>
        </is>
      </c>
      <c r="C476" s="7" t="inlineStr">
        <is>
          <t>C</t>
        </is>
      </c>
      <c r="D476" s="7" t="inlineStr">
        <is>
          <t>C</t>
        </is>
      </c>
      <c r="E476" s="7" t="n">
        <v>3</v>
      </c>
      <c r="F476" s="7" t="n">
        <v>1</v>
      </c>
      <c r="G476" s="8" t="n"/>
      <c r="H476" s="27" t="n"/>
      <c r="I476" s="27" t="n"/>
      <c r="J476" s="8" t="n"/>
      <c r="K476" s="8" t="n"/>
      <c r="L476" s="10" t="n"/>
      <c r="M476" s="8" t="n"/>
      <c r="N476" s="11">
        <f>IF(OR(J476="",H476="",I476=""),"",J476/((I476-H476)*1440))</f>
        <v/>
      </c>
      <c r="O476" s="7" t="n"/>
      <c r="P476" s="7" t="n"/>
      <c r="Q476" s="7" t="n"/>
      <c r="R476" s="12" t="n"/>
      <c r="S476" s="13">
        <f>IF(OR(R476="",J476=""),"",R476/J476-1)</f>
        <v/>
      </c>
      <c r="T476" s="14">
        <f>IF(OR(L476="",R476="",J476=""),"",SQRT(4+(L476^2-4)*(R476/J476)^2))</f>
        <v/>
      </c>
      <c r="U476" s="7" t="n"/>
      <c r="V476" s="7" t="n"/>
    </row>
    <row r="477">
      <c r="A477" s="7" t="inlineStr">
        <is>
          <t>C-3/4-3-i2</t>
        </is>
      </c>
      <c r="B477" s="7" t="inlineStr">
        <is>
          <t>3/4</t>
        </is>
      </c>
      <c r="C477" s="7" t="inlineStr">
        <is>
          <t>C</t>
        </is>
      </c>
      <c r="D477" s="7" t="inlineStr">
        <is>
          <t>C</t>
        </is>
      </c>
      <c r="E477" s="7" t="n">
        <v>3</v>
      </c>
      <c r="F477" s="7" t="n">
        <v>2</v>
      </c>
      <c r="G477" s="8" t="n"/>
      <c r="H477" s="27" t="n"/>
      <c r="I477" s="27" t="n"/>
      <c r="J477" s="8" t="n"/>
      <c r="K477" s="8" t="n"/>
      <c r="L477" s="10" t="n"/>
      <c r="M477" s="8" t="n"/>
      <c r="N477" s="11">
        <f>IF(OR(J477="",H477="",I477=""),"",J477/((I477-H477)*1440))</f>
        <v/>
      </c>
      <c r="O477" s="7" t="n"/>
      <c r="P477" s="7" t="n"/>
      <c r="Q477" s="7" t="n"/>
      <c r="R477" s="12" t="n"/>
      <c r="S477" s="13">
        <f>IF(OR(R477="",J477=""),"",R477/J477-1)</f>
        <v/>
      </c>
      <c r="T477" s="14">
        <f>IF(OR(L477="",R477="",J477=""),"",SQRT(4+(L477^2-4)*(R477/J477)^2))</f>
        <v/>
      </c>
      <c r="U477" s="7" t="n"/>
      <c r="V477" s="7" t="n"/>
    </row>
    <row r="478">
      <c r="A478" s="7" t="inlineStr">
        <is>
          <t>C-3/4-3-i3</t>
        </is>
      </c>
      <c r="B478" s="7" t="inlineStr">
        <is>
          <t>3/4</t>
        </is>
      </c>
      <c r="C478" s="7" t="inlineStr">
        <is>
          <t>C</t>
        </is>
      </c>
      <c r="D478" s="7" t="inlineStr">
        <is>
          <t>C</t>
        </is>
      </c>
      <c r="E478" s="7" t="n">
        <v>3</v>
      </c>
      <c r="F478" s="7" t="n">
        <v>3</v>
      </c>
      <c r="G478" s="8" t="n"/>
      <c r="H478" s="27" t="n"/>
      <c r="I478" s="27" t="n"/>
      <c r="J478" s="8" t="n"/>
      <c r="K478" s="8" t="n"/>
      <c r="L478" s="10" t="n"/>
      <c r="M478" s="8" t="n"/>
      <c r="N478" s="11">
        <f>IF(OR(J478="",H478="",I478=""),"",J478/((I478-H478)*1440))</f>
        <v/>
      </c>
      <c r="O478" s="7" t="n"/>
      <c r="P478" s="7" t="n"/>
      <c r="Q478" s="7" t="n"/>
      <c r="R478" s="12" t="n"/>
      <c r="S478" s="13">
        <f>IF(OR(R478="",J478=""),"",R478/J478-1)</f>
        <v/>
      </c>
      <c r="T478" s="14">
        <f>IF(OR(L478="",R478="",J478=""),"",SQRT(4+(L478^2-4)*(R478/J478)^2))</f>
        <v/>
      </c>
      <c r="U478" s="7" t="n"/>
      <c r="V478" s="7" t="n"/>
    </row>
    <row r="479">
      <c r="A479" s="7" t="inlineStr">
        <is>
          <t>C-3/4-5-i1</t>
        </is>
      </c>
      <c r="B479" s="7" t="inlineStr">
        <is>
          <t>3/4</t>
        </is>
      </c>
      <c r="C479" s="7" t="inlineStr">
        <is>
          <t>C</t>
        </is>
      </c>
      <c r="D479" s="7" t="inlineStr">
        <is>
          <t>C</t>
        </is>
      </c>
      <c r="E479" s="7" t="n">
        <v>5</v>
      </c>
      <c r="F479" s="7" t="n">
        <v>1</v>
      </c>
      <c r="G479" s="8" t="n"/>
      <c r="H479" s="27" t="n"/>
      <c r="I479" s="27" t="n"/>
      <c r="J479" s="8" t="n"/>
      <c r="K479" s="8" t="n"/>
      <c r="L479" s="10" t="n"/>
      <c r="M479" s="8" t="n"/>
      <c r="N479" s="11">
        <f>IF(OR(J479="",H479="",I479=""),"",J479/((I479-H479)*1440))</f>
        <v/>
      </c>
      <c r="O479" s="7" t="n"/>
      <c r="P479" s="7" t="n"/>
      <c r="Q479" s="7" t="n"/>
      <c r="R479" s="12" t="n"/>
      <c r="S479" s="13">
        <f>IF(OR(R479="",J479=""),"",R479/J479-1)</f>
        <v/>
      </c>
      <c r="T479" s="14">
        <f>IF(OR(L479="",R479="",J479=""),"",SQRT(4+(L479^2-4)*(R479/J479)^2))</f>
        <v/>
      </c>
      <c r="U479" s="7" t="n"/>
      <c r="V479" s="7" t="n"/>
    </row>
    <row r="480">
      <c r="A480" s="7" t="inlineStr">
        <is>
          <t>C-3/4-5-i2</t>
        </is>
      </c>
      <c r="B480" s="7" t="inlineStr">
        <is>
          <t>3/4</t>
        </is>
      </c>
      <c r="C480" s="7" t="inlineStr">
        <is>
          <t>C</t>
        </is>
      </c>
      <c r="D480" s="7" t="inlineStr">
        <is>
          <t>C</t>
        </is>
      </c>
      <c r="E480" s="7" t="n">
        <v>5</v>
      </c>
      <c r="F480" s="7" t="n">
        <v>2</v>
      </c>
      <c r="G480" s="8" t="n"/>
      <c r="H480" s="27" t="n"/>
      <c r="I480" s="27" t="n"/>
      <c r="J480" s="8" t="n"/>
      <c r="K480" s="8" t="n"/>
      <c r="L480" s="10" t="n"/>
      <c r="M480" s="8" t="n"/>
      <c r="N480" s="11">
        <f>IF(OR(J480="",H480="",I480=""),"",J480/((I480-H480)*1440))</f>
        <v/>
      </c>
      <c r="O480" s="7" t="n"/>
      <c r="P480" s="7" t="n"/>
      <c r="Q480" s="7" t="n"/>
      <c r="R480" s="12" t="n"/>
      <c r="S480" s="13">
        <f>IF(OR(R480="",J480=""),"",R480/J480-1)</f>
        <v/>
      </c>
      <c r="T480" s="14">
        <f>IF(OR(L480="",R480="",J480=""),"",SQRT(4+(L480^2-4)*(R480/J480)^2))</f>
        <v/>
      </c>
      <c r="U480" s="7" t="n"/>
      <c r="V480" s="7" t="n"/>
    </row>
    <row r="481">
      <c r="A481" s="7" t="inlineStr">
        <is>
          <t>C-3/4-5-i3</t>
        </is>
      </c>
      <c r="B481" s="7" t="inlineStr">
        <is>
          <t>3/4</t>
        </is>
      </c>
      <c r="C481" s="7" t="inlineStr">
        <is>
          <t>C</t>
        </is>
      </c>
      <c r="D481" s="7" t="inlineStr">
        <is>
          <t>C</t>
        </is>
      </c>
      <c r="E481" s="7" t="n">
        <v>5</v>
      </c>
      <c r="F481" s="7" t="n">
        <v>3</v>
      </c>
      <c r="G481" s="8" t="n"/>
      <c r="H481" s="27" t="n"/>
      <c r="I481" s="27" t="n"/>
      <c r="J481" s="8" t="n"/>
      <c r="K481" s="8" t="n"/>
      <c r="L481" s="10" t="n"/>
      <c r="M481" s="8" t="n"/>
      <c r="N481" s="11">
        <f>IF(OR(J481="",H481="",I481=""),"",J481/((I481-H481)*1440))</f>
        <v/>
      </c>
      <c r="O481" s="7" t="n"/>
      <c r="P481" s="7" t="n"/>
      <c r="Q481" s="7" t="n"/>
      <c r="R481" s="12" t="n"/>
      <c r="S481" s="13">
        <f>IF(OR(R481="",J481=""),"",R481/J481-1)</f>
        <v/>
      </c>
      <c r="T481" s="14">
        <f>IF(OR(L481="",R481="",J481=""),"",SQRT(4+(L481^2-4)*(R481/J481)^2))</f>
        <v/>
      </c>
      <c r="U481" s="7" t="n"/>
      <c r="V481" s="7" t="n"/>
    </row>
    <row r="482">
      <c r="A482" s="7" t="inlineStr">
        <is>
          <t>C-3/4-10-i1</t>
        </is>
      </c>
      <c r="B482" s="7" t="inlineStr">
        <is>
          <t>3/4</t>
        </is>
      </c>
      <c r="C482" s="7" t="inlineStr">
        <is>
          <t>C</t>
        </is>
      </c>
      <c r="D482" s="7" t="inlineStr">
        <is>
          <t>C</t>
        </is>
      </c>
      <c r="E482" s="7" t="n">
        <v>10</v>
      </c>
      <c r="F482" s="7" t="n">
        <v>1</v>
      </c>
      <c r="G482" s="8" t="n"/>
      <c r="H482" s="27" t="n"/>
      <c r="I482" s="27" t="n"/>
      <c r="J482" s="8" t="n"/>
      <c r="K482" s="8" t="n"/>
      <c r="L482" s="10" t="n"/>
      <c r="M482" s="8" t="n"/>
      <c r="N482" s="11">
        <f>IF(OR(J482="",H482="",I482=""),"",J482/((I482-H482)*1440))</f>
        <v/>
      </c>
      <c r="O482" s="7" t="n"/>
      <c r="P482" s="7" t="n"/>
      <c r="Q482" s="7" t="n"/>
      <c r="R482" s="12" t="n"/>
      <c r="S482" s="13">
        <f>IF(OR(R482="",J482=""),"",R482/J482-1)</f>
        <v/>
      </c>
      <c r="T482" s="14">
        <f>IF(OR(L482="",R482="",J482=""),"",SQRT(4+(L482^2-4)*(R482/J482)^2))</f>
        <v/>
      </c>
      <c r="U482" s="7" t="n"/>
      <c r="V482" s="7" t="n"/>
    </row>
    <row r="483">
      <c r="A483" s="7" t="inlineStr">
        <is>
          <t>C-3/4-10-i2</t>
        </is>
      </c>
      <c r="B483" s="7" t="inlineStr">
        <is>
          <t>3/4</t>
        </is>
      </c>
      <c r="C483" s="7" t="inlineStr">
        <is>
          <t>C</t>
        </is>
      </c>
      <c r="D483" s="7" t="inlineStr">
        <is>
          <t>C</t>
        </is>
      </c>
      <c r="E483" s="7" t="n">
        <v>10</v>
      </c>
      <c r="F483" s="7" t="n">
        <v>2</v>
      </c>
      <c r="G483" s="8" t="n"/>
      <c r="H483" s="27" t="n"/>
      <c r="I483" s="27" t="n"/>
      <c r="J483" s="8" t="n"/>
      <c r="K483" s="8" t="n"/>
      <c r="L483" s="10" t="n"/>
      <c r="M483" s="8" t="n"/>
      <c r="N483" s="11">
        <f>IF(OR(J483="",H483="",I483=""),"",J483/((I483-H483)*1440))</f>
        <v/>
      </c>
      <c r="O483" s="7" t="n"/>
      <c r="P483" s="7" t="n"/>
      <c r="Q483" s="7" t="n"/>
      <c r="R483" s="12" t="n"/>
      <c r="S483" s="13">
        <f>IF(OR(R483="",J483=""),"",R483/J483-1)</f>
        <v/>
      </c>
      <c r="T483" s="14">
        <f>IF(OR(L483="",R483="",J483=""),"",SQRT(4+(L483^2-4)*(R483/J483)^2))</f>
        <v/>
      </c>
      <c r="U483" s="7" t="n"/>
      <c r="V483" s="7" t="n"/>
    </row>
    <row r="484">
      <c r="A484" s="7" t="inlineStr">
        <is>
          <t>C-3/4-10-i3</t>
        </is>
      </c>
      <c r="B484" s="7" t="inlineStr">
        <is>
          <t>3/4</t>
        </is>
      </c>
      <c r="C484" s="7" t="inlineStr">
        <is>
          <t>C</t>
        </is>
      </c>
      <c r="D484" s="7" t="inlineStr">
        <is>
          <t>C</t>
        </is>
      </c>
      <c r="E484" s="7" t="n">
        <v>10</v>
      </c>
      <c r="F484" s="7" t="n">
        <v>3</v>
      </c>
      <c r="G484" s="8" t="n"/>
      <c r="H484" s="27" t="n"/>
      <c r="I484" s="27" t="n"/>
      <c r="J484" s="8" t="n"/>
      <c r="K484" s="8" t="n"/>
      <c r="L484" s="10" t="n"/>
      <c r="M484" s="8" t="n"/>
      <c r="N484" s="11">
        <f>IF(OR(J484="",H484="",I484=""),"",J484/((I484-H484)*1440))</f>
        <v/>
      </c>
      <c r="O484" s="7" t="n"/>
      <c r="P484" s="7" t="n"/>
      <c r="Q484" s="7" t="n"/>
      <c r="R484" s="12" t="n"/>
      <c r="S484" s="13">
        <f>IF(OR(R484="",J484=""),"",R484/J484-1)</f>
        <v/>
      </c>
      <c r="T484" s="14">
        <f>IF(OR(L484="",R484="",J484=""),"",SQRT(4+(L484^2-4)*(R484/J484)^2))</f>
        <v/>
      </c>
      <c r="U484" s="7" t="n"/>
      <c r="V484" s="7" t="n"/>
    </row>
    <row r="485">
      <c r="A485" s="7" t="inlineStr">
        <is>
          <t>c-3/4-0.5-i1</t>
        </is>
      </c>
      <c r="B485" s="7" t="inlineStr">
        <is>
          <t>3/4</t>
        </is>
      </c>
      <c r="C485" s="7" t="inlineStr">
        <is>
          <t>c</t>
        </is>
      </c>
      <c r="D485" s="7" t="inlineStr">
        <is>
          <t>c</t>
        </is>
      </c>
      <c r="E485" s="7" t="n">
        <v>0.5</v>
      </c>
      <c r="F485" s="7" t="n">
        <v>1</v>
      </c>
      <c r="G485" s="8" t="n"/>
      <c r="H485" s="27" t="n"/>
      <c r="I485" s="27" t="n"/>
      <c r="J485" s="8" t="n"/>
      <c r="K485" s="8" t="n"/>
      <c r="L485" s="10" t="n"/>
      <c r="M485" s="8" t="n"/>
      <c r="N485" s="11">
        <f>IF(OR(J485="",H485="",I485=""),"",J485/((I485-H485)*1440))</f>
        <v/>
      </c>
      <c r="O485" s="7" t="n"/>
      <c r="P485" s="7" t="n"/>
      <c r="Q485" s="7" t="n"/>
      <c r="R485" s="12" t="n"/>
      <c r="S485" s="13">
        <f>IF(OR(R485="",J485=""),"",R485/J485-1)</f>
        <v/>
      </c>
      <c r="T485" s="14">
        <f>IF(OR(L485="",R485="",J485=""),"",SQRT(4+(L485^2-4)*(R485/J485)^2))</f>
        <v/>
      </c>
      <c r="U485" s="7" t="n"/>
      <c r="V485" s="7" t="n"/>
    </row>
    <row r="486">
      <c r="A486" s="7" t="inlineStr">
        <is>
          <t>c-3/4-0.5-i2</t>
        </is>
      </c>
      <c r="B486" s="7" t="inlineStr">
        <is>
          <t>3/4</t>
        </is>
      </c>
      <c r="C486" s="7" t="inlineStr">
        <is>
          <t>c</t>
        </is>
      </c>
      <c r="D486" s="7" t="inlineStr">
        <is>
          <t>c</t>
        </is>
      </c>
      <c r="E486" s="7" t="n">
        <v>0.5</v>
      </c>
      <c r="F486" s="7" t="n">
        <v>2</v>
      </c>
      <c r="G486" s="8" t="n"/>
      <c r="H486" s="27" t="n"/>
      <c r="I486" s="27" t="n"/>
      <c r="J486" s="8" t="n"/>
      <c r="K486" s="8" t="n"/>
      <c r="L486" s="10" t="n"/>
      <c r="M486" s="8" t="n"/>
      <c r="N486" s="11">
        <f>IF(OR(J486="",H486="",I486=""),"",J486/((I486-H486)*1440))</f>
        <v/>
      </c>
      <c r="O486" s="7" t="n"/>
      <c r="P486" s="7" t="n"/>
      <c r="Q486" s="7" t="n"/>
      <c r="R486" s="12" t="n"/>
      <c r="S486" s="13">
        <f>IF(OR(R486="",J486=""),"",R486/J486-1)</f>
        <v/>
      </c>
      <c r="T486" s="14">
        <f>IF(OR(L486="",R486="",J486=""),"",SQRT(4+(L486^2-4)*(R486/J486)^2))</f>
        <v/>
      </c>
      <c r="U486" s="7" t="n"/>
      <c r="V486" s="7" t="n"/>
    </row>
    <row r="487">
      <c r="A487" s="7" t="inlineStr">
        <is>
          <t>c-3/4-0.5-i3</t>
        </is>
      </c>
      <c r="B487" s="7" t="inlineStr">
        <is>
          <t>3/4</t>
        </is>
      </c>
      <c r="C487" s="7" t="inlineStr">
        <is>
          <t>c</t>
        </is>
      </c>
      <c r="D487" s="7" t="inlineStr">
        <is>
          <t>c</t>
        </is>
      </c>
      <c r="E487" s="7" t="n">
        <v>0.5</v>
      </c>
      <c r="F487" s="7" t="n">
        <v>3</v>
      </c>
      <c r="G487" s="8" t="n"/>
      <c r="H487" s="27" t="n"/>
      <c r="I487" s="27" t="n"/>
      <c r="J487" s="8" t="n"/>
      <c r="K487" s="8" t="n"/>
      <c r="L487" s="10" t="n"/>
      <c r="M487" s="8" t="n"/>
      <c r="N487" s="11">
        <f>IF(OR(J487="",H487="",I487=""),"",J487/((I487-H487)*1440))</f>
        <v/>
      </c>
      <c r="O487" s="7" t="n"/>
      <c r="P487" s="7" t="n"/>
      <c r="Q487" s="7" t="n"/>
      <c r="R487" s="12" t="n"/>
      <c r="S487" s="13">
        <f>IF(OR(R487="",J487=""),"",R487/J487-1)</f>
        <v/>
      </c>
      <c r="T487" s="14">
        <f>IF(OR(L487="",R487="",J487=""),"",SQRT(4+(L487^2-4)*(R487/J487)^2))</f>
        <v/>
      </c>
      <c r="U487" s="7" t="n"/>
      <c r="V487" s="7" t="n"/>
    </row>
    <row r="488">
      <c r="A488" s="7" t="inlineStr">
        <is>
          <t>c-3/4-1-i1</t>
        </is>
      </c>
      <c r="B488" s="7" t="inlineStr">
        <is>
          <t>3/4</t>
        </is>
      </c>
      <c r="C488" s="7" t="inlineStr">
        <is>
          <t>c</t>
        </is>
      </c>
      <c r="D488" s="7" t="inlineStr">
        <is>
          <t>c</t>
        </is>
      </c>
      <c r="E488" s="7" t="n">
        <v>1</v>
      </c>
      <c r="F488" s="7" t="n">
        <v>1</v>
      </c>
      <c r="G488" s="8" t="n"/>
      <c r="H488" s="27" t="n"/>
      <c r="I488" s="27" t="n"/>
      <c r="J488" s="8" t="n"/>
      <c r="K488" s="8" t="n"/>
      <c r="L488" s="10" t="n"/>
      <c r="M488" s="8" t="n"/>
      <c r="N488" s="11">
        <f>IF(OR(J488="",H488="",I488=""),"",J488/((I488-H488)*1440))</f>
        <v/>
      </c>
      <c r="O488" s="7" t="n"/>
      <c r="P488" s="7" t="n"/>
      <c r="Q488" s="7" t="n"/>
      <c r="R488" s="12" t="n"/>
      <c r="S488" s="13">
        <f>IF(OR(R488="",J488=""),"",R488/J488-1)</f>
        <v/>
      </c>
      <c r="T488" s="14">
        <f>IF(OR(L488="",R488="",J488=""),"",SQRT(4+(L488^2-4)*(R488/J488)^2))</f>
        <v/>
      </c>
      <c r="U488" s="7" t="n"/>
      <c r="V488" s="7" t="n"/>
    </row>
    <row r="489">
      <c r="A489" s="7" t="inlineStr">
        <is>
          <t>c-3/4-1-i2</t>
        </is>
      </c>
      <c r="B489" s="7" t="inlineStr">
        <is>
          <t>3/4</t>
        </is>
      </c>
      <c r="C489" s="7" t="inlineStr">
        <is>
          <t>c</t>
        </is>
      </c>
      <c r="D489" s="7" t="inlineStr">
        <is>
          <t>c</t>
        </is>
      </c>
      <c r="E489" s="7" t="n">
        <v>1</v>
      </c>
      <c r="F489" s="7" t="n">
        <v>2</v>
      </c>
      <c r="G489" s="8" t="n"/>
      <c r="H489" s="27" t="n"/>
      <c r="I489" s="27" t="n"/>
      <c r="J489" s="8" t="n"/>
      <c r="K489" s="8" t="n"/>
      <c r="L489" s="10" t="n"/>
      <c r="M489" s="8" t="n"/>
      <c r="N489" s="11">
        <f>IF(OR(J489="",H489="",I489=""),"",J489/((I489-H489)*1440))</f>
        <v/>
      </c>
      <c r="O489" s="7" t="n"/>
      <c r="P489" s="7" t="n"/>
      <c r="Q489" s="7" t="n"/>
      <c r="R489" s="12" t="n"/>
      <c r="S489" s="13">
        <f>IF(OR(R489="",J489=""),"",R489/J489-1)</f>
        <v/>
      </c>
      <c r="T489" s="14">
        <f>IF(OR(L489="",R489="",J489=""),"",SQRT(4+(L489^2-4)*(R489/J489)^2))</f>
        <v/>
      </c>
      <c r="U489" s="7" t="n"/>
      <c r="V489" s="7" t="n"/>
    </row>
    <row r="490">
      <c r="A490" s="7" t="inlineStr">
        <is>
          <t>c-3/4-1-i3</t>
        </is>
      </c>
      <c r="B490" s="7" t="inlineStr">
        <is>
          <t>3/4</t>
        </is>
      </c>
      <c r="C490" s="7" t="inlineStr">
        <is>
          <t>c</t>
        </is>
      </c>
      <c r="D490" s="7" t="inlineStr">
        <is>
          <t>c</t>
        </is>
      </c>
      <c r="E490" s="7" t="n">
        <v>1</v>
      </c>
      <c r="F490" s="7" t="n">
        <v>3</v>
      </c>
      <c r="G490" s="8" t="n"/>
      <c r="H490" s="27" t="n"/>
      <c r="I490" s="27" t="n"/>
      <c r="J490" s="8" t="n"/>
      <c r="K490" s="8" t="n"/>
      <c r="L490" s="10" t="n"/>
      <c r="M490" s="8" t="n"/>
      <c r="N490" s="11">
        <f>IF(OR(J490="",H490="",I490=""),"",J490/((I490-H490)*1440))</f>
        <v/>
      </c>
      <c r="O490" s="7" t="n"/>
      <c r="P490" s="7" t="n"/>
      <c r="Q490" s="7" t="n"/>
      <c r="R490" s="12" t="n"/>
      <c r="S490" s="13">
        <f>IF(OR(R490="",J490=""),"",R490/J490-1)</f>
        <v/>
      </c>
      <c r="T490" s="14">
        <f>IF(OR(L490="",R490="",J490=""),"",SQRT(4+(L490^2-4)*(R490/J490)^2))</f>
        <v/>
      </c>
      <c r="U490" s="7" t="n"/>
      <c r="V490" s="7" t="n"/>
    </row>
    <row r="491">
      <c r="A491" s="7" t="inlineStr">
        <is>
          <t>c-3/4-3-i1</t>
        </is>
      </c>
      <c r="B491" s="7" t="inlineStr">
        <is>
          <t>3/4</t>
        </is>
      </c>
      <c r="C491" s="7" t="inlineStr">
        <is>
          <t>c</t>
        </is>
      </c>
      <c r="D491" s="7" t="inlineStr">
        <is>
          <t>c</t>
        </is>
      </c>
      <c r="E491" s="7" t="n">
        <v>3</v>
      </c>
      <c r="F491" s="7" t="n">
        <v>1</v>
      </c>
      <c r="G491" s="8" t="n"/>
      <c r="H491" s="27" t="n"/>
      <c r="I491" s="27" t="n"/>
      <c r="J491" s="8" t="n"/>
      <c r="K491" s="8" t="n"/>
      <c r="L491" s="10" t="n"/>
      <c r="M491" s="8" t="n"/>
      <c r="N491" s="11">
        <f>IF(OR(J491="",H491="",I491=""),"",J491/((I491-H491)*1440))</f>
        <v/>
      </c>
      <c r="O491" s="7" t="n"/>
      <c r="P491" s="7" t="n"/>
      <c r="Q491" s="7" t="n"/>
      <c r="R491" s="12" t="n"/>
      <c r="S491" s="13">
        <f>IF(OR(R491="",J491=""),"",R491/J491-1)</f>
        <v/>
      </c>
      <c r="T491" s="14">
        <f>IF(OR(L491="",R491="",J491=""),"",SQRT(4+(L491^2-4)*(R491/J491)^2))</f>
        <v/>
      </c>
      <c r="U491" s="7" t="n"/>
      <c r="V491" s="7" t="n"/>
    </row>
    <row r="492">
      <c r="A492" s="7" t="inlineStr">
        <is>
          <t>c-3/4-3-i2</t>
        </is>
      </c>
      <c r="B492" s="7" t="inlineStr">
        <is>
          <t>3/4</t>
        </is>
      </c>
      <c r="C492" s="7" t="inlineStr">
        <is>
          <t>c</t>
        </is>
      </c>
      <c r="D492" s="7" t="inlineStr">
        <is>
          <t>c</t>
        </is>
      </c>
      <c r="E492" s="7" t="n">
        <v>3</v>
      </c>
      <c r="F492" s="7" t="n">
        <v>2</v>
      </c>
      <c r="G492" s="8" t="n"/>
      <c r="H492" s="27" t="n"/>
      <c r="I492" s="27" t="n"/>
      <c r="J492" s="8" t="n"/>
      <c r="K492" s="8" t="n"/>
      <c r="L492" s="10" t="n"/>
      <c r="M492" s="8" t="n"/>
      <c r="N492" s="11">
        <f>IF(OR(J492="",H492="",I492=""),"",J492/((I492-H492)*1440))</f>
        <v/>
      </c>
      <c r="O492" s="7" t="n"/>
      <c r="P492" s="7" t="n"/>
      <c r="Q492" s="7" t="n"/>
      <c r="R492" s="12" t="n"/>
      <c r="S492" s="13">
        <f>IF(OR(R492="",J492=""),"",R492/J492-1)</f>
        <v/>
      </c>
      <c r="T492" s="14">
        <f>IF(OR(L492="",R492="",J492=""),"",SQRT(4+(L492^2-4)*(R492/J492)^2))</f>
        <v/>
      </c>
      <c r="U492" s="7" t="n"/>
      <c r="V492" s="7" t="n"/>
    </row>
    <row r="493">
      <c r="A493" s="7" t="inlineStr">
        <is>
          <t>c-3/4-3-i3</t>
        </is>
      </c>
      <c r="B493" s="7" t="inlineStr">
        <is>
          <t>3/4</t>
        </is>
      </c>
      <c r="C493" s="7" t="inlineStr">
        <is>
          <t>c</t>
        </is>
      </c>
      <c r="D493" s="7" t="inlineStr">
        <is>
          <t>c</t>
        </is>
      </c>
      <c r="E493" s="7" t="n">
        <v>3</v>
      </c>
      <c r="F493" s="7" t="n">
        <v>3</v>
      </c>
      <c r="G493" s="8" t="n"/>
      <c r="H493" s="27" t="n"/>
      <c r="I493" s="27" t="n"/>
      <c r="J493" s="8" t="n"/>
      <c r="K493" s="8" t="n"/>
      <c r="L493" s="10" t="n"/>
      <c r="M493" s="8" t="n"/>
      <c r="N493" s="11">
        <f>IF(OR(J493="",H493="",I493=""),"",J493/((I493-H493)*1440))</f>
        <v/>
      </c>
      <c r="O493" s="7" t="n"/>
      <c r="P493" s="7" t="n"/>
      <c r="Q493" s="7" t="n"/>
      <c r="R493" s="12" t="n"/>
      <c r="S493" s="13">
        <f>IF(OR(R493="",J493=""),"",R493/J493-1)</f>
        <v/>
      </c>
      <c r="T493" s="14">
        <f>IF(OR(L493="",R493="",J493=""),"",SQRT(4+(L493^2-4)*(R493/J493)^2))</f>
        <v/>
      </c>
      <c r="U493" s="7" t="n"/>
      <c r="V493" s="7" t="n"/>
    </row>
    <row r="494">
      <c r="A494" s="7" t="inlineStr">
        <is>
          <t>c-3/4-5-i1</t>
        </is>
      </c>
      <c r="B494" s="7" t="inlineStr">
        <is>
          <t>3/4</t>
        </is>
      </c>
      <c r="C494" s="7" t="inlineStr">
        <is>
          <t>c</t>
        </is>
      </c>
      <c r="D494" s="7" t="inlineStr">
        <is>
          <t>c</t>
        </is>
      </c>
      <c r="E494" s="7" t="n">
        <v>5</v>
      </c>
      <c r="F494" s="7" t="n">
        <v>1</v>
      </c>
      <c r="G494" s="8" t="n"/>
      <c r="H494" s="27" t="n"/>
      <c r="I494" s="27" t="n"/>
      <c r="J494" s="8" t="n"/>
      <c r="K494" s="8" t="n"/>
      <c r="L494" s="10" t="n"/>
      <c r="M494" s="8" t="n"/>
      <c r="N494" s="11">
        <f>IF(OR(J494="",H494="",I494=""),"",J494/((I494-H494)*1440))</f>
        <v/>
      </c>
      <c r="O494" s="7" t="n"/>
      <c r="P494" s="7" t="n"/>
      <c r="Q494" s="7" t="n"/>
      <c r="R494" s="12" t="n"/>
      <c r="S494" s="13">
        <f>IF(OR(R494="",J494=""),"",R494/J494-1)</f>
        <v/>
      </c>
      <c r="T494" s="14">
        <f>IF(OR(L494="",R494="",J494=""),"",SQRT(4+(L494^2-4)*(R494/J494)^2))</f>
        <v/>
      </c>
      <c r="U494" s="7" t="n"/>
      <c r="V494" s="7" t="n"/>
    </row>
    <row r="495">
      <c r="A495" s="7" t="inlineStr">
        <is>
          <t>c-3/4-5-i2</t>
        </is>
      </c>
      <c r="B495" s="7" t="inlineStr">
        <is>
          <t>3/4</t>
        </is>
      </c>
      <c r="C495" s="7" t="inlineStr">
        <is>
          <t>c</t>
        </is>
      </c>
      <c r="D495" s="7" t="inlineStr">
        <is>
          <t>c</t>
        </is>
      </c>
      <c r="E495" s="7" t="n">
        <v>5</v>
      </c>
      <c r="F495" s="7" t="n">
        <v>2</v>
      </c>
      <c r="G495" s="8" t="n"/>
      <c r="H495" s="27" t="n"/>
      <c r="I495" s="27" t="n"/>
      <c r="J495" s="8" t="n"/>
      <c r="K495" s="8" t="n"/>
      <c r="L495" s="10" t="n"/>
      <c r="M495" s="8" t="n"/>
      <c r="N495" s="11">
        <f>IF(OR(J495="",H495="",I495=""),"",J495/((I495-H495)*1440))</f>
        <v/>
      </c>
      <c r="O495" s="7" t="n"/>
      <c r="P495" s="7" t="n"/>
      <c r="Q495" s="7" t="n"/>
      <c r="R495" s="12" t="n"/>
      <c r="S495" s="13">
        <f>IF(OR(R495="",J495=""),"",R495/J495-1)</f>
        <v/>
      </c>
      <c r="T495" s="14">
        <f>IF(OR(L495="",R495="",J495=""),"",SQRT(4+(L495^2-4)*(R495/J495)^2))</f>
        <v/>
      </c>
      <c r="U495" s="7" t="n"/>
      <c r="V495" s="7" t="n"/>
    </row>
    <row r="496">
      <c r="A496" s="7" t="inlineStr">
        <is>
          <t>c-3/4-5-i3</t>
        </is>
      </c>
      <c r="B496" s="7" t="inlineStr">
        <is>
          <t>3/4</t>
        </is>
      </c>
      <c r="C496" s="7" t="inlineStr">
        <is>
          <t>c</t>
        </is>
      </c>
      <c r="D496" s="7" t="inlineStr">
        <is>
          <t>c</t>
        </is>
      </c>
      <c r="E496" s="7" t="n">
        <v>5</v>
      </c>
      <c r="F496" s="7" t="n">
        <v>3</v>
      </c>
      <c r="G496" s="8" t="n"/>
      <c r="H496" s="27" t="n"/>
      <c r="I496" s="27" t="n"/>
      <c r="J496" s="8" t="n"/>
      <c r="K496" s="8" t="n"/>
      <c r="L496" s="10" t="n"/>
      <c r="M496" s="8" t="n"/>
      <c r="N496" s="11">
        <f>IF(OR(J496="",H496="",I496=""),"",J496/((I496-H496)*1440))</f>
        <v/>
      </c>
      <c r="O496" s="7" t="n"/>
      <c r="P496" s="7" t="n"/>
      <c r="Q496" s="7" t="n"/>
      <c r="R496" s="12" t="n"/>
      <c r="S496" s="13">
        <f>IF(OR(R496="",J496=""),"",R496/J496-1)</f>
        <v/>
      </c>
      <c r="T496" s="14">
        <f>IF(OR(L496="",R496="",J496=""),"",SQRT(4+(L496^2-4)*(R496/J496)^2))</f>
        <v/>
      </c>
      <c r="U496" s="7" t="n"/>
      <c r="V496" s="7" t="n"/>
    </row>
    <row r="497">
      <c r="A497" s="7" t="inlineStr">
        <is>
          <t>c-3/4-10-i1</t>
        </is>
      </c>
      <c r="B497" s="7" t="inlineStr">
        <is>
          <t>3/4</t>
        </is>
      </c>
      <c r="C497" s="7" t="inlineStr">
        <is>
          <t>c</t>
        </is>
      </c>
      <c r="D497" s="7" t="inlineStr">
        <is>
          <t>c</t>
        </is>
      </c>
      <c r="E497" s="7" t="n">
        <v>10</v>
      </c>
      <c r="F497" s="7" t="n">
        <v>1</v>
      </c>
      <c r="G497" s="8" t="n"/>
      <c r="H497" s="27" t="n"/>
      <c r="I497" s="27" t="n"/>
      <c r="J497" s="8" t="n"/>
      <c r="K497" s="8" t="n"/>
      <c r="L497" s="10" t="n"/>
      <c r="M497" s="8" t="n"/>
      <c r="N497" s="11">
        <f>IF(OR(J497="",H497="",I497=""),"",J497/((I497-H497)*1440))</f>
        <v/>
      </c>
      <c r="O497" s="7" t="n"/>
      <c r="P497" s="7" t="n"/>
      <c r="Q497" s="7" t="n"/>
      <c r="R497" s="12" t="n"/>
      <c r="S497" s="13">
        <f>IF(OR(R497="",J497=""),"",R497/J497-1)</f>
        <v/>
      </c>
      <c r="T497" s="14">
        <f>IF(OR(L497="",R497="",J497=""),"",SQRT(4+(L497^2-4)*(R497/J497)^2))</f>
        <v/>
      </c>
      <c r="U497" s="7" t="n"/>
      <c r="V497" s="7" t="n"/>
    </row>
    <row r="498">
      <c r="A498" s="7" t="inlineStr">
        <is>
          <t>c-3/4-10-i2</t>
        </is>
      </c>
      <c r="B498" s="7" t="inlineStr">
        <is>
          <t>3/4</t>
        </is>
      </c>
      <c r="C498" s="7" t="inlineStr">
        <is>
          <t>c</t>
        </is>
      </c>
      <c r="D498" s="7" t="inlineStr">
        <is>
          <t>c</t>
        </is>
      </c>
      <c r="E498" s="7" t="n">
        <v>10</v>
      </c>
      <c r="F498" s="7" t="n">
        <v>2</v>
      </c>
      <c r="G498" s="8" t="n"/>
      <c r="H498" s="27" t="n"/>
      <c r="I498" s="27" t="n"/>
      <c r="J498" s="8" t="n"/>
      <c r="K498" s="8" t="n"/>
      <c r="L498" s="10" t="n"/>
      <c r="M498" s="8" t="n"/>
      <c r="N498" s="11">
        <f>IF(OR(J498="",H498="",I498=""),"",J498/((I498-H498)*1440))</f>
        <v/>
      </c>
      <c r="O498" s="7" t="n"/>
      <c r="P498" s="7" t="n"/>
      <c r="Q498" s="7" t="n"/>
      <c r="R498" s="12" t="n"/>
      <c r="S498" s="13">
        <f>IF(OR(R498="",J498=""),"",R498/J498-1)</f>
        <v/>
      </c>
      <c r="T498" s="14">
        <f>IF(OR(L498="",R498="",J498=""),"",SQRT(4+(L498^2-4)*(R498/J498)^2))</f>
        <v/>
      </c>
      <c r="U498" s="7" t="n"/>
      <c r="V498" s="7" t="n"/>
    </row>
    <row r="499">
      <c r="A499" s="7" t="inlineStr">
        <is>
          <t>c-3/4-10-i3</t>
        </is>
      </c>
      <c r="B499" s="7" t="inlineStr">
        <is>
          <t>3/4</t>
        </is>
      </c>
      <c r="C499" s="7" t="inlineStr">
        <is>
          <t>c</t>
        </is>
      </c>
      <c r="D499" s="7" t="inlineStr">
        <is>
          <t>c</t>
        </is>
      </c>
      <c r="E499" s="7" t="n">
        <v>10</v>
      </c>
      <c r="F499" s="7" t="n">
        <v>3</v>
      </c>
      <c r="G499" s="8" t="n"/>
      <c r="H499" s="27" t="n"/>
      <c r="I499" s="27" t="n"/>
      <c r="J499" s="8" t="n"/>
      <c r="K499" s="8" t="n"/>
      <c r="L499" s="10" t="n"/>
      <c r="M499" s="8" t="n"/>
      <c r="N499" s="11">
        <f>IF(OR(J499="",H499="",I499=""),"",J499/((I499-H499)*1440))</f>
        <v/>
      </c>
      <c r="O499" s="7" t="n"/>
      <c r="P499" s="7" t="n"/>
      <c r="Q499" s="7" t="n"/>
      <c r="R499" s="12" t="n"/>
      <c r="S499" s="13">
        <f>IF(OR(R499="",J499=""),"",R499/J499-1)</f>
        <v/>
      </c>
      <c r="T499" s="14">
        <f>IF(OR(L499="",R499="",J499=""),"",SQRT(4+(L499^2-4)*(R499/J499)^2))</f>
        <v/>
      </c>
      <c r="U499" s="7" t="n"/>
      <c r="V499" s="7" t="n"/>
    </row>
    <row r="500">
      <c r="A500" s="7" t="inlineStr">
        <is>
          <t>K-1-0.5-i1</t>
        </is>
      </c>
      <c r="B500" s="7" t="inlineStr">
        <is>
          <t>1</t>
        </is>
      </c>
      <c r="C500" s="7" t="inlineStr">
        <is>
          <t>K</t>
        </is>
      </c>
      <c r="D500" s="7" t="inlineStr">
        <is>
          <t>Copper K</t>
        </is>
      </c>
      <c r="E500" s="7" t="n">
        <v>0.5</v>
      </c>
      <c r="F500" s="7" t="n">
        <v>1</v>
      </c>
      <c r="G500" s="8" t="n"/>
      <c r="H500" s="27" t="n"/>
      <c r="I500" s="27" t="n"/>
      <c r="J500" s="8" t="n"/>
      <c r="K500" s="8" t="n"/>
      <c r="L500" s="10" t="n"/>
      <c r="M500" s="8" t="n"/>
      <c r="N500" s="11">
        <f>IF(OR(J500="",H500="",I500=""),"",J500/((I500-H500)*1440))</f>
        <v/>
      </c>
      <c r="O500" s="7" t="n"/>
      <c r="P500" s="7" t="n"/>
      <c r="Q500" s="7" t="n"/>
      <c r="R500" s="12" t="n"/>
      <c r="S500" s="13">
        <f>IF(OR(R500="",J500=""),"",R500/J500-1)</f>
        <v/>
      </c>
      <c r="T500" s="14">
        <f>IF(OR(L500="",R500="",J500=""),"",SQRT(4+(L500^2-4)*(R500/J500)^2))</f>
        <v/>
      </c>
      <c r="U500" s="7" t="n"/>
      <c r="V500" s="7" t="n"/>
    </row>
    <row r="501">
      <c r="A501" s="7" t="inlineStr">
        <is>
          <t>K-1-0.5-i2</t>
        </is>
      </c>
      <c r="B501" s="7" t="inlineStr">
        <is>
          <t>1</t>
        </is>
      </c>
      <c r="C501" s="7" t="inlineStr">
        <is>
          <t>K</t>
        </is>
      </c>
      <c r="D501" s="7" t="inlineStr">
        <is>
          <t>Copper K</t>
        </is>
      </c>
      <c r="E501" s="7" t="n">
        <v>0.5</v>
      </c>
      <c r="F501" s="7" t="n">
        <v>2</v>
      </c>
      <c r="G501" s="8" t="n"/>
      <c r="H501" s="27" t="n"/>
      <c r="I501" s="27" t="n"/>
      <c r="J501" s="8" t="n"/>
      <c r="K501" s="8" t="n"/>
      <c r="L501" s="10" t="n"/>
      <c r="M501" s="8" t="n"/>
      <c r="N501" s="11">
        <f>IF(OR(J501="",H501="",I501=""),"",J501/((I501-H501)*1440))</f>
        <v/>
      </c>
      <c r="O501" s="7" t="n"/>
      <c r="P501" s="7" t="n"/>
      <c r="Q501" s="7" t="n"/>
      <c r="R501" s="12" t="n"/>
      <c r="S501" s="13">
        <f>IF(OR(R501="",J501=""),"",R501/J501-1)</f>
        <v/>
      </c>
      <c r="T501" s="14">
        <f>IF(OR(L501="",R501="",J501=""),"",SQRT(4+(L501^2-4)*(R501/J501)^2))</f>
        <v/>
      </c>
      <c r="U501" s="7" t="n"/>
      <c r="V501" s="7" t="n"/>
    </row>
    <row r="502">
      <c r="A502" s="7" t="inlineStr">
        <is>
          <t>K-1-0.5-i3</t>
        </is>
      </c>
      <c r="B502" s="7" t="inlineStr">
        <is>
          <t>1</t>
        </is>
      </c>
      <c r="C502" s="7" t="inlineStr">
        <is>
          <t>K</t>
        </is>
      </c>
      <c r="D502" s="7" t="inlineStr">
        <is>
          <t>Copper K</t>
        </is>
      </c>
      <c r="E502" s="7" t="n">
        <v>0.5</v>
      </c>
      <c r="F502" s="7" t="n">
        <v>3</v>
      </c>
      <c r="G502" s="8" t="n"/>
      <c r="H502" s="27" t="n"/>
      <c r="I502" s="27" t="n"/>
      <c r="J502" s="8" t="n"/>
      <c r="K502" s="8" t="n"/>
      <c r="L502" s="10" t="n"/>
      <c r="M502" s="8" t="n"/>
      <c r="N502" s="11">
        <f>IF(OR(J502="",H502="",I502=""),"",J502/((I502-H502)*1440))</f>
        <v/>
      </c>
      <c r="O502" s="7" t="n"/>
      <c r="P502" s="7" t="n"/>
      <c r="Q502" s="7" t="n"/>
      <c r="R502" s="12" t="n"/>
      <c r="S502" s="13">
        <f>IF(OR(R502="",J502=""),"",R502/J502-1)</f>
        <v/>
      </c>
      <c r="T502" s="14">
        <f>IF(OR(L502="",R502="",J502=""),"",SQRT(4+(L502^2-4)*(R502/J502)^2))</f>
        <v/>
      </c>
      <c r="U502" s="7" t="n"/>
      <c r="V502" s="7" t="n"/>
    </row>
    <row r="503">
      <c r="A503" s="7" t="inlineStr">
        <is>
          <t>K-1-1-i1</t>
        </is>
      </c>
      <c r="B503" s="7" t="inlineStr">
        <is>
          <t>1</t>
        </is>
      </c>
      <c r="C503" s="7" t="inlineStr">
        <is>
          <t>K</t>
        </is>
      </c>
      <c r="D503" s="7" t="inlineStr">
        <is>
          <t>Copper K</t>
        </is>
      </c>
      <c r="E503" s="7" t="n">
        <v>1</v>
      </c>
      <c r="F503" s="7" t="n">
        <v>1</v>
      </c>
      <c r="G503" s="8" t="n"/>
      <c r="H503" s="27" t="n"/>
      <c r="I503" s="27" t="n"/>
      <c r="J503" s="8" t="n"/>
      <c r="K503" s="8" t="n"/>
      <c r="L503" s="10" t="n"/>
      <c r="M503" s="8" t="n"/>
      <c r="N503" s="11">
        <f>IF(OR(J503="",H503="",I503=""),"",J503/((I503-H503)*1440))</f>
        <v/>
      </c>
      <c r="O503" s="7" t="n"/>
      <c r="P503" s="7" t="n"/>
      <c r="Q503" s="7" t="n"/>
      <c r="R503" s="12" t="n"/>
      <c r="S503" s="13">
        <f>IF(OR(R503="",J503=""),"",R503/J503-1)</f>
        <v/>
      </c>
      <c r="T503" s="14">
        <f>IF(OR(L503="",R503="",J503=""),"",SQRT(4+(L503^2-4)*(R503/J503)^2))</f>
        <v/>
      </c>
      <c r="U503" s="7" t="n"/>
      <c r="V503" s="7" t="n"/>
    </row>
    <row r="504">
      <c r="A504" s="7" t="inlineStr">
        <is>
          <t>K-1-1-i2</t>
        </is>
      </c>
      <c r="B504" s="7" t="inlineStr">
        <is>
          <t>1</t>
        </is>
      </c>
      <c r="C504" s="7" t="inlineStr">
        <is>
          <t>K</t>
        </is>
      </c>
      <c r="D504" s="7" t="inlineStr">
        <is>
          <t>Copper K</t>
        </is>
      </c>
      <c r="E504" s="7" t="n">
        <v>1</v>
      </c>
      <c r="F504" s="7" t="n">
        <v>2</v>
      </c>
      <c r="G504" s="8" t="n"/>
      <c r="H504" s="27" t="n"/>
      <c r="I504" s="27" t="n"/>
      <c r="J504" s="8" t="n"/>
      <c r="K504" s="8" t="n"/>
      <c r="L504" s="10" t="n"/>
      <c r="M504" s="8" t="n"/>
      <c r="N504" s="11">
        <f>IF(OR(J504="",H504="",I504=""),"",J504/((I504-H504)*1440))</f>
        <v/>
      </c>
      <c r="O504" s="7" t="n"/>
      <c r="P504" s="7" t="n"/>
      <c r="Q504" s="7" t="n"/>
      <c r="R504" s="12" t="n"/>
      <c r="S504" s="13">
        <f>IF(OR(R504="",J504=""),"",R504/J504-1)</f>
        <v/>
      </c>
      <c r="T504" s="14">
        <f>IF(OR(L504="",R504="",J504=""),"",SQRT(4+(L504^2-4)*(R504/J504)^2))</f>
        <v/>
      </c>
      <c r="U504" s="7" t="n"/>
      <c r="V504" s="7" t="n"/>
    </row>
    <row r="505">
      <c r="A505" s="7" t="inlineStr">
        <is>
          <t>K-1-1-i3</t>
        </is>
      </c>
      <c r="B505" s="7" t="inlineStr">
        <is>
          <t>1</t>
        </is>
      </c>
      <c r="C505" s="7" t="inlineStr">
        <is>
          <t>K</t>
        </is>
      </c>
      <c r="D505" s="7" t="inlineStr">
        <is>
          <t>Copper K</t>
        </is>
      </c>
      <c r="E505" s="7" t="n">
        <v>1</v>
      </c>
      <c r="F505" s="7" t="n">
        <v>3</v>
      </c>
      <c r="G505" s="8" t="n"/>
      <c r="H505" s="27" t="n"/>
      <c r="I505" s="27" t="n"/>
      <c r="J505" s="8" t="n"/>
      <c r="K505" s="8" t="n"/>
      <c r="L505" s="10" t="n"/>
      <c r="M505" s="8" t="n"/>
      <c r="N505" s="11">
        <f>IF(OR(J505="",H505="",I505=""),"",J505/((I505-H505)*1440))</f>
        <v/>
      </c>
      <c r="O505" s="7" t="n"/>
      <c r="P505" s="7" t="n"/>
      <c r="Q505" s="7" t="n"/>
      <c r="R505" s="12" t="n"/>
      <c r="S505" s="13">
        <f>IF(OR(R505="",J505=""),"",R505/J505-1)</f>
        <v/>
      </c>
      <c r="T505" s="14">
        <f>IF(OR(L505="",R505="",J505=""),"",SQRT(4+(L505^2-4)*(R505/J505)^2))</f>
        <v/>
      </c>
      <c r="U505" s="7" t="n"/>
      <c r="V505" s="7" t="n"/>
    </row>
    <row r="506">
      <c r="A506" s="7" t="inlineStr">
        <is>
          <t>K-1-3-i1</t>
        </is>
      </c>
      <c r="B506" s="7" t="inlineStr">
        <is>
          <t>1</t>
        </is>
      </c>
      <c r="C506" s="7" t="inlineStr">
        <is>
          <t>K</t>
        </is>
      </c>
      <c r="D506" s="7" t="inlineStr">
        <is>
          <t>Copper K</t>
        </is>
      </c>
      <c r="E506" s="7" t="n">
        <v>3</v>
      </c>
      <c r="F506" s="7" t="n">
        <v>1</v>
      </c>
      <c r="G506" s="8" t="n"/>
      <c r="H506" s="27" t="n"/>
      <c r="I506" s="27" t="n"/>
      <c r="J506" s="8" t="n"/>
      <c r="K506" s="8" t="n"/>
      <c r="L506" s="10" t="n"/>
      <c r="M506" s="8" t="n"/>
      <c r="N506" s="11">
        <f>IF(OR(J506="",H506="",I506=""),"",J506/((I506-H506)*1440))</f>
        <v/>
      </c>
      <c r="O506" s="7" t="n"/>
      <c r="P506" s="7" t="n"/>
      <c r="Q506" s="7" t="n"/>
      <c r="R506" s="12" t="n"/>
      <c r="S506" s="13">
        <f>IF(OR(R506="",J506=""),"",R506/J506-1)</f>
        <v/>
      </c>
      <c r="T506" s="14">
        <f>IF(OR(L506="",R506="",J506=""),"",SQRT(4+(L506^2-4)*(R506/J506)^2))</f>
        <v/>
      </c>
      <c r="U506" s="7" t="n"/>
      <c r="V506" s="7" t="n"/>
    </row>
    <row r="507">
      <c r="A507" s="7" t="inlineStr">
        <is>
          <t>K-1-3-i2</t>
        </is>
      </c>
      <c r="B507" s="7" t="inlineStr">
        <is>
          <t>1</t>
        </is>
      </c>
      <c r="C507" s="7" t="inlineStr">
        <is>
          <t>K</t>
        </is>
      </c>
      <c r="D507" s="7" t="inlineStr">
        <is>
          <t>Copper K</t>
        </is>
      </c>
      <c r="E507" s="7" t="n">
        <v>3</v>
      </c>
      <c r="F507" s="7" t="n">
        <v>2</v>
      </c>
      <c r="G507" s="8" t="n"/>
      <c r="H507" s="27" t="n"/>
      <c r="I507" s="27" t="n"/>
      <c r="J507" s="8" t="n"/>
      <c r="K507" s="8" t="n"/>
      <c r="L507" s="10" t="n"/>
      <c r="M507" s="8" t="n"/>
      <c r="N507" s="11">
        <f>IF(OR(J507="",H507="",I507=""),"",J507/((I507-H507)*1440))</f>
        <v/>
      </c>
      <c r="O507" s="7" t="n"/>
      <c r="P507" s="7" t="n"/>
      <c r="Q507" s="7" t="n"/>
      <c r="R507" s="12" t="n"/>
      <c r="S507" s="13">
        <f>IF(OR(R507="",J507=""),"",R507/J507-1)</f>
        <v/>
      </c>
      <c r="T507" s="14">
        <f>IF(OR(L507="",R507="",J507=""),"",SQRT(4+(L507^2-4)*(R507/J507)^2))</f>
        <v/>
      </c>
      <c r="U507" s="7" t="n"/>
      <c r="V507" s="7" t="n"/>
    </row>
    <row r="508">
      <c r="A508" s="7" t="inlineStr">
        <is>
          <t>K-1-3-i3</t>
        </is>
      </c>
      <c r="B508" s="7" t="inlineStr">
        <is>
          <t>1</t>
        </is>
      </c>
      <c r="C508" s="7" t="inlineStr">
        <is>
          <t>K</t>
        </is>
      </c>
      <c r="D508" s="7" t="inlineStr">
        <is>
          <t>Copper K</t>
        </is>
      </c>
      <c r="E508" s="7" t="n">
        <v>3</v>
      </c>
      <c r="F508" s="7" t="n">
        <v>3</v>
      </c>
      <c r="G508" s="8" t="n"/>
      <c r="H508" s="27" t="n"/>
      <c r="I508" s="27" t="n"/>
      <c r="J508" s="8" t="n"/>
      <c r="K508" s="8" t="n"/>
      <c r="L508" s="10" t="n"/>
      <c r="M508" s="8" t="n"/>
      <c r="N508" s="11">
        <f>IF(OR(J508="",H508="",I508=""),"",J508/((I508-H508)*1440))</f>
        <v/>
      </c>
      <c r="O508" s="7" t="n"/>
      <c r="P508" s="7" t="n"/>
      <c r="Q508" s="7" t="n"/>
      <c r="R508" s="12" t="n"/>
      <c r="S508" s="13">
        <f>IF(OR(R508="",J508=""),"",R508/J508-1)</f>
        <v/>
      </c>
      <c r="T508" s="14">
        <f>IF(OR(L508="",R508="",J508=""),"",SQRT(4+(L508^2-4)*(R508/J508)^2))</f>
        <v/>
      </c>
      <c r="U508" s="7" t="n"/>
      <c r="V508" s="7" t="n"/>
    </row>
    <row r="509">
      <c r="A509" s="7" t="inlineStr">
        <is>
          <t>K-1-5-i1</t>
        </is>
      </c>
      <c r="B509" s="7" t="inlineStr">
        <is>
          <t>1</t>
        </is>
      </c>
      <c r="C509" s="7" t="inlineStr">
        <is>
          <t>K</t>
        </is>
      </c>
      <c r="D509" s="7" t="inlineStr">
        <is>
          <t>Copper K</t>
        </is>
      </c>
      <c r="E509" s="7" t="n">
        <v>5</v>
      </c>
      <c r="F509" s="7" t="n">
        <v>1</v>
      </c>
      <c r="G509" s="8" t="n"/>
      <c r="H509" s="27" t="n"/>
      <c r="I509" s="27" t="n"/>
      <c r="J509" s="8" t="n"/>
      <c r="K509" s="8" t="n"/>
      <c r="L509" s="10" t="n"/>
      <c r="M509" s="8" t="n"/>
      <c r="N509" s="11">
        <f>IF(OR(J509="",H509="",I509=""),"",J509/((I509-H509)*1440))</f>
        <v/>
      </c>
      <c r="O509" s="7" t="n"/>
      <c r="P509" s="7" t="n"/>
      <c r="Q509" s="7" t="n"/>
      <c r="R509" s="12" t="n"/>
      <c r="S509" s="13">
        <f>IF(OR(R509="",J509=""),"",R509/J509-1)</f>
        <v/>
      </c>
      <c r="T509" s="14">
        <f>IF(OR(L509="",R509="",J509=""),"",SQRT(4+(L509^2-4)*(R509/J509)^2))</f>
        <v/>
      </c>
      <c r="U509" s="7" t="n"/>
      <c r="V509" s="7" t="n"/>
    </row>
    <row r="510">
      <c r="A510" s="7" t="inlineStr">
        <is>
          <t>K-1-5-i2</t>
        </is>
      </c>
      <c r="B510" s="7" t="inlineStr">
        <is>
          <t>1</t>
        </is>
      </c>
      <c r="C510" s="7" t="inlineStr">
        <is>
          <t>K</t>
        </is>
      </c>
      <c r="D510" s="7" t="inlineStr">
        <is>
          <t>Copper K</t>
        </is>
      </c>
      <c r="E510" s="7" t="n">
        <v>5</v>
      </c>
      <c r="F510" s="7" t="n">
        <v>2</v>
      </c>
      <c r="G510" s="8" t="n"/>
      <c r="H510" s="27" t="n"/>
      <c r="I510" s="27" t="n"/>
      <c r="J510" s="8" t="n"/>
      <c r="K510" s="8" t="n"/>
      <c r="L510" s="10" t="n"/>
      <c r="M510" s="8" t="n"/>
      <c r="N510" s="11">
        <f>IF(OR(J510="",H510="",I510=""),"",J510/((I510-H510)*1440))</f>
        <v/>
      </c>
      <c r="O510" s="7" t="n"/>
      <c r="P510" s="7" t="n"/>
      <c r="Q510" s="7" t="n"/>
      <c r="R510" s="12" t="n"/>
      <c r="S510" s="13">
        <f>IF(OR(R510="",J510=""),"",R510/J510-1)</f>
        <v/>
      </c>
      <c r="T510" s="14">
        <f>IF(OR(L510="",R510="",J510=""),"",SQRT(4+(L510^2-4)*(R510/J510)^2))</f>
        <v/>
      </c>
      <c r="U510" s="7" t="n"/>
      <c r="V510" s="7" t="n"/>
    </row>
    <row r="511">
      <c r="A511" s="7" t="inlineStr">
        <is>
          <t>K-1-5-i3</t>
        </is>
      </c>
      <c r="B511" s="7" t="inlineStr">
        <is>
          <t>1</t>
        </is>
      </c>
      <c r="C511" s="7" t="inlineStr">
        <is>
          <t>K</t>
        </is>
      </c>
      <c r="D511" s="7" t="inlineStr">
        <is>
          <t>Copper K</t>
        </is>
      </c>
      <c r="E511" s="7" t="n">
        <v>5</v>
      </c>
      <c r="F511" s="7" t="n">
        <v>3</v>
      </c>
      <c r="G511" s="8" t="n"/>
      <c r="H511" s="27" t="n"/>
      <c r="I511" s="27" t="n"/>
      <c r="J511" s="8" t="n"/>
      <c r="K511" s="8" t="n"/>
      <c r="L511" s="10" t="n"/>
      <c r="M511" s="8" t="n"/>
      <c r="N511" s="11">
        <f>IF(OR(J511="",H511="",I511=""),"",J511/((I511-H511)*1440))</f>
        <v/>
      </c>
      <c r="O511" s="7" t="n"/>
      <c r="P511" s="7" t="n"/>
      <c r="Q511" s="7" t="n"/>
      <c r="R511" s="12" t="n"/>
      <c r="S511" s="13">
        <f>IF(OR(R511="",J511=""),"",R511/J511-1)</f>
        <v/>
      </c>
      <c r="T511" s="14">
        <f>IF(OR(L511="",R511="",J511=""),"",SQRT(4+(L511^2-4)*(R511/J511)^2))</f>
        <v/>
      </c>
      <c r="U511" s="7" t="n"/>
      <c r="V511" s="7" t="n"/>
    </row>
    <row r="512">
      <c r="A512" s="7" t="inlineStr">
        <is>
          <t>K-1-10-i1</t>
        </is>
      </c>
      <c r="B512" s="7" t="inlineStr">
        <is>
          <t>1</t>
        </is>
      </c>
      <c r="C512" s="7" t="inlineStr">
        <is>
          <t>K</t>
        </is>
      </c>
      <c r="D512" s="7" t="inlineStr">
        <is>
          <t>Copper K</t>
        </is>
      </c>
      <c r="E512" s="7" t="n">
        <v>10</v>
      </c>
      <c r="F512" s="7" t="n">
        <v>1</v>
      </c>
      <c r="G512" s="8" t="n"/>
      <c r="H512" s="27" t="n"/>
      <c r="I512" s="27" t="n"/>
      <c r="J512" s="8" t="n"/>
      <c r="K512" s="8" t="n"/>
      <c r="L512" s="10" t="n"/>
      <c r="M512" s="8" t="n"/>
      <c r="N512" s="11">
        <f>IF(OR(J512="",H512="",I512=""),"",J512/((I512-H512)*1440))</f>
        <v/>
      </c>
      <c r="O512" s="7" t="n"/>
      <c r="P512" s="7" t="n"/>
      <c r="Q512" s="7" t="n"/>
      <c r="R512" s="12" t="n"/>
      <c r="S512" s="13">
        <f>IF(OR(R512="",J512=""),"",R512/J512-1)</f>
        <v/>
      </c>
      <c r="T512" s="14">
        <f>IF(OR(L512="",R512="",J512=""),"",SQRT(4+(L512^2-4)*(R512/J512)^2))</f>
        <v/>
      </c>
      <c r="U512" s="7" t="n"/>
      <c r="V512" s="7" t="n"/>
    </row>
    <row r="513">
      <c r="A513" s="7" t="inlineStr">
        <is>
          <t>K-1-10-i2</t>
        </is>
      </c>
      <c r="B513" s="7" t="inlineStr">
        <is>
          <t>1</t>
        </is>
      </c>
      <c r="C513" s="7" t="inlineStr">
        <is>
          <t>K</t>
        </is>
      </c>
      <c r="D513" s="7" t="inlineStr">
        <is>
          <t>Copper K</t>
        </is>
      </c>
      <c r="E513" s="7" t="n">
        <v>10</v>
      </c>
      <c r="F513" s="7" t="n">
        <v>2</v>
      </c>
      <c r="G513" s="8" t="n"/>
      <c r="H513" s="27" t="n"/>
      <c r="I513" s="27" t="n"/>
      <c r="J513" s="8" t="n"/>
      <c r="K513" s="8" t="n"/>
      <c r="L513" s="10" t="n"/>
      <c r="M513" s="8" t="n"/>
      <c r="N513" s="11">
        <f>IF(OR(J513="",H513="",I513=""),"",J513/((I513-H513)*1440))</f>
        <v/>
      </c>
      <c r="O513" s="7" t="n"/>
      <c r="P513" s="7" t="n"/>
      <c r="Q513" s="7" t="n"/>
      <c r="R513" s="12" t="n"/>
      <c r="S513" s="13">
        <f>IF(OR(R513="",J513=""),"",R513/J513-1)</f>
        <v/>
      </c>
      <c r="T513" s="14">
        <f>IF(OR(L513="",R513="",J513=""),"",SQRT(4+(L513^2-4)*(R513/J513)^2))</f>
        <v/>
      </c>
      <c r="U513" s="7" t="n"/>
      <c r="V513" s="7" t="n"/>
    </row>
    <row r="514">
      <c r="A514" s="7" t="inlineStr">
        <is>
          <t>K-1-10-i3</t>
        </is>
      </c>
      <c r="B514" s="7" t="inlineStr">
        <is>
          <t>1</t>
        </is>
      </c>
      <c r="C514" s="7" t="inlineStr">
        <is>
          <t>K</t>
        </is>
      </c>
      <c r="D514" s="7" t="inlineStr">
        <is>
          <t>Copper K</t>
        </is>
      </c>
      <c r="E514" s="7" t="n">
        <v>10</v>
      </c>
      <c r="F514" s="7" t="n">
        <v>3</v>
      </c>
      <c r="G514" s="8" t="n"/>
      <c r="H514" s="27" t="n"/>
      <c r="I514" s="27" t="n"/>
      <c r="J514" s="8" t="n"/>
      <c r="K514" s="8" t="n"/>
      <c r="L514" s="10" t="n"/>
      <c r="M514" s="8" t="n"/>
      <c r="N514" s="11">
        <f>IF(OR(J514="",H514="",I514=""),"",J514/((I514-H514)*1440))</f>
        <v/>
      </c>
      <c r="O514" s="7" t="n"/>
      <c r="P514" s="7" t="n"/>
      <c r="Q514" s="7" t="n"/>
      <c r="R514" s="12" t="n"/>
      <c r="S514" s="13">
        <f>IF(OR(R514="",J514=""),"",R514/J514-1)</f>
        <v/>
      </c>
      <c r="T514" s="14">
        <f>IF(OR(L514="",R514="",J514=""),"",SQRT(4+(L514^2-4)*(R514/J514)^2))</f>
        <v/>
      </c>
      <c r="U514" s="7" t="n"/>
      <c r="V514" s="7" t="n"/>
    </row>
    <row r="515">
      <c r="A515" s="7" t="inlineStr">
        <is>
          <t>L-1-0.5-i1</t>
        </is>
      </c>
      <c r="B515" s="7" t="inlineStr">
        <is>
          <t>1</t>
        </is>
      </c>
      <c r="C515" s="7" t="inlineStr">
        <is>
          <t>L</t>
        </is>
      </c>
      <c r="D515" s="7" t="inlineStr">
        <is>
          <t>Copper L</t>
        </is>
      </c>
      <c r="E515" s="7" t="n">
        <v>0.5</v>
      </c>
      <c r="F515" s="7" t="n">
        <v>1</v>
      </c>
      <c r="G515" s="8" t="n"/>
      <c r="H515" s="27" t="n"/>
      <c r="I515" s="27" t="n"/>
      <c r="J515" s="8" t="n"/>
      <c r="K515" s="8" t="n"/>
      <c r="L515" s="10" t="n"/>
      <c r="M515" s="8" t="n"/>
      <c r="N515" s="11">
        <f>IF(OR(J515="",H515="",I515=""),"",J515/((I515-H515)*1440))</f>
        <v/>
      </c>
      <c r="O515" s="7" t="n"/>
      <c r="P515" s="7" t="n"/>
      <c r="Q515" s="7" t="n"/>
      <c r="R515" s="12" t="n"/>
      <c r="S515" s="13">
        <f>IF(OR(R515="",J515=""),"",R515/J515-1)</f>
        <v/>
      </c>
      <c r="T515" s="14">
        <f>IF(OR(L515="",R515="",J515=""),"",SQRT(4+(L515^2-4)*(R515/J515)^2))</f>
        <v/>
      </c>
      <c r="U515" s="7" t="n"/>
      <c r="V515" s="7" t="n"/>
    </row>
    <row r="516">
      <c r="A516" s="7" t="inlineStr">
        <is>
          <t>L-1-0.5-i2</t>
        </is>
      </c>
      <c r="B516" s="7" t="inlineStr">
        <is>
          <t>1</t>
        </is>
      </c>
      <c r="C516" s="7" t="inlineStr">
        <is>
          <t>L</t>
        </is>
      </c>
      <c r="D516" s="7" t="inlineStr">
        <is>
          <t>Copper L</t>
        </is>
      </c>
      <c r="E516" s="7" t="n">
        <v>0.5</v>
      </c>
      <c r="F516" s="7" t="n">
        <v>2</v>
      </c>
      <c r="G516" s="8" t="n"/>
      <c r="H516" s="27" t="n"/>
      <c r="I516" s="27" t="n"/>
      <c r="J516" s="8" t="n"/>
      <c r="K516" s="8" t="n"/>
      <c r="L516" s="10" t="n"/>
      <c r="M516" s="8" t="n"/>
      <c r="N516" s="11">
        <f>IF(OR(J516="",H516="",I516=""),"",J516/((I516-H516)*1440))</f>
        <v/>
      </c>
      <c r="O516" s="7" t="n"/>
      <c r="P516" s="7" t="n"/>
      <c r="Q516" s="7" t="n"/>
      <c r="R516" s="12" t="n"/>
      <c r="S516" s="13">
        <f>IF(OR(R516="",J516=""),"",R516/J516-1)</f>
        <v/>
      </c>
      <c r="T516" s="14">
        <f>IF(OR(L516="",R516="",J516=""),"",SQRT(4+(L516^2-4)*(R516/J516)^2))</f>
        <v/>
      </c>
      <c r="U516" s="7" t="n"/>
      <c r="V516" s="7" t="n"/>
    </row>
    <row r="517">
      <c r="A517" s="7" t="inlineStr">
        <is>
          <t>L-1-0.5-i3</t>
        </is>
      </c>
      <c r="B517" s="7" t="inlineStr">
        <is>
          <t>1</t>
        </is>
      </c>
      <c r="C517" s="7" t="inlineStr">
        <is>
          <t>L</t>
        </is>
      </c>
      <c r="D517" s="7" t="inlineStr">
        <is>
          <t>Copper L</t>
        </is>
      </c>
      <c r="E517" s="7" t="n">
        <v>0.5</v>
      </c>
      <c r="F517" s="7" t="n">
        <v>3</v>
      </c>
      <c r="G517" s="8" t="n"/>
      <c r="H517" s="27" t="n"/>
      <c r="I517" s="27" t="n"/>
      <c r="J517" s="8" t="n"/>
      <c r="K517" s="8" t="n"/>
      <c r="L517" s="10" t="n"/>
      <c r="M517" s="8" t="n"/>
      <c r="N517" s="11">
        <f>IF(OR(J517="",H517="",I517=""),"",J517/((I517-H517)*1440))</f>
        <v/>
      </c>
      <c r="O517" s="7" t="n"/>
      <c r="P517" s="7" t="n"/>
      <c r="Q517" s="7" t="n"/>
      <c r="R517" s="12" t="n"/>
      <c r="S517" s="13">
        <f>IF(OR(R517="",J517=""),"",R517/J517-1)</f>
        <v/>
      </c>
      <c r="T517" s="14">
        <f>IF(OR(L517="",R517="",J517=""),"",SQRT(4+(L517^2-4)*(R517/J517)^2))</f>
        <v/>
      </c>
      <c r="U517" s="7" t="n"/>
      <c r="V517" s="7" t="n"/>
    </row>
    <row r="518">
      <c r="A518" s="7" t="inlineStr">
        <is>
          <t>L-1-1-i1</t>
        </is>
      </c>
      <c r="B518" s="7" t="inlineStr">
        <is>
          <t>1</t>
        </is>
      </c>
      <c r="C518" s="7" t="inlineStr">
        <is>
          <t>L</t>
        </is>
      </c>
      <c r="D518" s="7" t="inlineStr">
        <is>
          <t>Copper L</t>
        </is>
      </c>
      <c r="E518" s="7" t="n">
        <v>1</v>
      </c>
      <c r="F518" s="7" t="n">
        <v>1</v>
      </c>
      <c r="G518" s="8" t="n"/>
      <c r="H518" s="27" t="n"/>
      <c r="I518" s="27" t="n"/>
      <c r="J518" s="8" t="n"/>
      <c r="K518" s="8" t="n"/>
      <c r="L518" s="10" t="n"/>
      <c r="M518" s="8" t="n"/>
      <c r="N518" s="11">
        <f>IF(OR(J518="",H518="",I518=""),"",J518/((I518-H518)*1440))</f>
        <v/>
      </c>
      <c r="O518" s="7" t="n"/>
      <c r="P518" s="7" t="n"/>
      <c r="Q518" s="7" t="n"/>
      <c r="R518" s="12" t="n"/>
      <c r="S518" s="13">
        <f>IF(OR(R518="",J518=""),"",R518/J518-1)</f>
        <v/>
      </c>
      <c r="T518" s="14">
        <f>IF(OR(L518="",R518="",J518=""),"",SQRT(4+(L518^2-4)*(R518/J518)^2))</f>
        <v/>
      </c>
      <c r="U518" s="7" t="n"/>
      <c r="V518" s="7" t="n"/>
    </row>
    <row r="519">
      <c r="A519" s="7" t="inlineStr">
        <is>
          <t>L-1-1-i2</t>
        </is>
      </c>
      <c r="B519" s="7" t="inlineStr">
        <is>
          <t>1</t>
        </is>
      </c>
      <c r="C519" s="7" t="inlineStr">
        <is>
          <t>L</t>
        </is>
      </c>
      <c r="D519" s="7" t="inlineStr">
        <is>
          <t>Copper L</t>
        </is>
      </c>
      <c r="E519" s="7" t="n">
        <v>1</v>
      </c>
      <c r="F519" s="7" t="n">
        <v>2</v>
      </c>
      <c r="G519" s="8" t="n"/>
      <c r="H519" s="27" t="n"/>
      <c r="I519" s="27" t="n"/>
      <c r="J519" s="8" t="n"/>
      <c r="K519" s="8" t="n"/>
      <c r="L519" s="10" t="n"/>
      <c r="M519" s="8" t="n"/>
      <c r="N519" s="11">
        <f>IF(OR(J519="",H519="",I519=""),"",J519/((I519-H519)*1440))</f>
        <v/>
      </c>
      <c r="O519" s="7" t="n"/>
      <c r="P519" s="7" t="n"/>
      <c r="Q519" s="7" t="n"/>
      <c r="R519" s="12" t="n"/>
      <c r="S519" s="13">
        <f>IF(OR(R519="",J519=""),"",R519/J519-1)</f>
        <v/>
      </c>
      <c r="T519" s="14">
        <f>IF(OR(L519="",R519="",J519=""),"",SQRT(4+(L519^2-4)*(R519/J519)^2))</f>
        <v/>
      </c>
      <c r="U519" s="7" t="n"/>
      <c r="V519" s="7" t="n"/>
    </row>
    <row r="520">
      <c r="A520" s="7" t="inlineStr">
        <is>
          <t>L-1-1-i3</t>
        </is>
      </c>
      <c r="B520" s="7" t="inlineStr">
        <is>
          <t>1</t>
        </is>
      </c>
      <c r="C520" s="7" t="inlineStr">
        <is>
          <t>L</t>
        </is>
      </c>
      <c r="D520" s="7" t="inlineStr">
        <is>
          <t>Copper L</t>
        </is>
      </c>
      <c r="E520" s="7" t="n">
        <v>1</v>
      </c>
      <c r="F520" s="7" t="n">
        <v>3</v>
      </c>
      <c r="G520" s="8" t="n"/>
      <c r="H520" s="27" t="n"/>
      <c r="I520" s="27" t="n"/>
      <c r="J520" s="8" t="n"/>
      <c r="K520" s="8" t="n"/>
      <c r="L520" s="10" t="n"/>
      <c r="M520" s="8" t="n"/>
      <c r="N520" s="11">
        <f>IF(OR(J520="",H520="",I520=""),"",J520/((I520-H520)*1440))</f>
        <v/>
      </c>
      <c r="O520" s="7" t="n"/>
      <c r="P520" s="7" t="n"/>
      <c r="Q520" s="7" t="n"/>
      <c r="R520" s="12" t="n"/>
      <c r="S520" s="13">
        <f>IF(OR(R520="",J520=""),"",R520/J520-1)</f>
        <v/>
      </c>
      <c r="T520" s="14">
        <f>IF(OR(L520="",R520="",J520=""),"",SQRT(4+(L520^2-4)*(R520/J520)^2))</f>
        <v/>
      </c>
      <c r="U520" s="7" t="n"/>
      <c r="V520" s="7" t="n"/>
    </row>
    <row r="521">
      <c r="A521" s="7" t="inlineStr">
        <is>
          <t>L-1-3-i1</t>
        </is>
      </c>
      <c r="B521" s="7" t="inlineStr">
        <is>
          <t>1</t>
        </is>
      </c>
      <c r="C521" s="7" t="inlineStr">
        <is>
          <t>L</t>
        </is>
      </c>
      <c r="D521" s="7" t="inlineStr">
        <is>
          <t>Copper L</t>
        </is>
      </c>
      <c r="E521" s="7" t="n">
        <v>3</v>
      </c>
      <c r="F521" s="7" t="n">
        <v>1</v>
      </c>
      <c r="G521" s="8" t="n"/>
      <c r="H521" s="27" t="n"/>
      <c r="I521" s="27" t="n"/>
      <c r="J521" s="8" t="n"/>
      <c r="K521" s="8" t="n"/>
      <c r="L521" s="10" t="n"/>
      <c r="M521" s="8" t="n"/>
      <c r="N521" s="11">
        <f>IF(OR(J521="",H521="",I521=""),"",J521/((I521-H521)*1440))</f>
        <v/>
      </c>
      <c r="O521" s="7" t="n"/>
      <c r="P521" s="7" t="n"/>
      <c r="Q521" s="7" t="n"/>
      <c r="R521" s="12" t="n"/>
      <c r="S521" s="13">
        <f>IF(OR(R521="",J521=""),"",R521/J521-1)</f>
        <v/>
      </c>
      <c r="T521" s="14">
        <f>IF(OR(L521="",R521="",J521=""),"",SQRT(4+(L521^2-4)*(R521/J521)^2))</f>
        <v/>
      </c>
      <c r="U521" s="7" t="n"/>
      <c r="V521" s="7" t="n"/>
    </row>
    <row r="522">
      <c r="A522" s="7" t="inlineStr">
        <is>
          <t>L-1-3-i2</t>
        </is>
      </c>
      <c r="B522" s="7" t="inlineStr">
        <is>
          <t>1</t>
        </is>
      </c>
      <c r="C522" s="7" t="inlineStr">
        <is>
          <t>L</t>
        </is>
      </c>
      <c r="D522" s="7" t="inlineStr">
        <is>
          <t>Copper L</t>
        </is>
      </c>
      <c r="E522" s="7" t="n">
        <v>3</v>
      </c>
      <c r="F522" s="7" t="n">
        <v>2</v>
      </c>
      <c r="G522" s="8" t="n"/>
      <c r="H522" s="27" t="n"/>
      <c r="I522" s="27" t="n"/>
      <c r="J522" s="8" t="n"/>
      <c r="K522" s="8" t="n"/>
      <c r="L522" s="10" t="n"/>
      <c r="M522" s="8" t="n"/>
      <c r="N522" s="11">
        <f>IF(OR(J522="",H522="",I522=""),"",J522/((I522-H522)*1440))</f>
        <v/>
      </c>
      <c r="O522" s="7" t="n"/>
      <c r="P522" s="7" t="n"/>
      <c r="Q522" s="7" t="n"/>
      <c r="R522" s="12" t="n"/>
      <c r="S522" s="13">
        <f>IF(OR(R522="",J522=""),"",R522/J522-1)</f>
        <v/>
      </c>
      <c r="T522" s="14">
        <f>IF(OR(L522="",R522="",J522=""),"",SQRT(4+(L522^2-4)*(R522/J522)^2))</f>
        <v/>
      </c>
      <c r="U522" s="7" t="n"/>
      <c r="V522" s="7" t="n"/>
    </row>
    <row r="523">
      <c r="A523" s="7" t="inlineStr">
        <is>
          <t>L-1-3-i3</t>
        </is>
      </c>
      <c r="B523" s="7" t="inlineStr">
        <is>
          <t>1</t>
        </is>
      </c>
      <c r="C523" s="7" t="inlineStr">
        <is>
          <t>L</t>
        </is>
      </c>
      <c r="D523" s="7" t="inlineStr">
        <is>
          <t>Copper L</t>
        </is>
      </c>
      <c r="E523" s="7" t="n">
        <v>3</v>
      </c>
      <c r="F523" s="7" t="n">
        <v>3</v>
      </c>
      <c r="G523" s="8" t="n"/>
      <c r="H523" s="27" t="n"/>
      <c r="I523" s="27" t="n"/>
      <c r="J523" s="8" t="n"/>
      <c r="K523" s="8" t="n"/>
      <c r="L523" s="10" t="n"/>
      <c r="M523" s="8" t="n"/>
      <c r="N523" s="11">
        <f>IF(OR(J523="",H523="",I523=""),"",J523/((I523-H523)*1440))</f>
        <v/>
      </c>
      <c r="O523" s="7" t="n"/>
      <c r="P523" s="7" t="n"/>
      <c r="Q523" s="7" t="n"/>
      <c r="R523" s="12" t="n"/>
      <c r="S523" s="13">
        <f>IF(OR(R523="",J523=""),"",R523/J523-1)</f>
        <v/>
      </c>
      <c r="T523" s="14">
        <f>IF(OR(L523="",R523="",J523=""),"",SQRT(4+(L523^2-4)*(R523/J523)^2))</f>
        <v/>
      </c>
      <c r="U523" s="7" t="n"/>
      <c r="V523" s="7" t="n"/>
    </row>
    <row r="524">
      <c r="A524" s="7" t="inlineStr">
        <is>
          <t>L-1-5-i1</t>
        </is>
      </c>
      <c r="B524" s="7" t="inlineStr">
        <is>
          <t>1</t>
        </is>
      </c>
      <c r="C524" s="7" t="inlineStr">
        <is>
          <t>L</t>
        </is>
      </c>
      <c r="D524" s="7" t="inlineStr">
        <is>
          <t>Copper L</t>
        </is>
      </c>
      <c r="E524" s="7" t="n">
        <v>5</v>
      </c>
      <c r="F524" s="7" t="n">
        <v>1</v>
      </c>
      <c r="G524" s="8" t="n"/>
      <c r="H524" s="27" t="n"/>
      <c r="I524" s="27" t="n"/>
      <c r="J524" s="8" t="n"/>
      <c r="K524" s="8" t="n"/>
      <c r="L524" s="10" t="n"/>
      <c r="M524" s="8" t="n"/>
      <c r="N524" s="11">
        <f>IF(OR(J524="",H524="",I524=""),"",J524/((I524-H524)*1440))</f>
        <v/>
      </c>
      <c r="O524" s="7" t="n"/>
      <c r="P524" s="7" t="n"/>
      <c r="Q524" s="7" t="n"/>
      <c r="R524" s="12" t="n"/>
      <c r="S524" s="13">
        <f>IF(OR(R524="",J524=""),"",R524/J524-1)</f>
        <v/>
      </c>
      <c r="T524" s="14">
        <f>IF(OR(L524="",R524="",J524=""),"",SQRT(4+(L524^2-4)*(R524/J524)^2))</f>
        <v/>
      </c>
      <c r="U524" s="7" t="n"/>
      <c r="V524" s="7" t="n"/>
    </row>
    <row r="525">
      <c r="A525" s="7" t="inlineStr">
        <is>
          <t>L-1-5-i2</t>
        </is>
      </c>
      <c r="B525" s="7" t="inlineStr">
        <is>
          <t>1</t>
        </is>
      </c>
      <c r="C525" s="7" t="inlineStr">
        <is>
          <t>L</t>
        </is>
      </c>
      <c r="D525" s="7" t="inlineStr">
        <is>
          <t>Copper L</t>
        </is>
      </c>
      <c r="E525" s="7" t="n">
        <v>5</v>
      </c>
      <c r="F525" s="7" t="n">
        <v>2</v>
      </c>
      <c r="G525" s="8" t="n"/>
      <c r="H525" s="27" t="n"/>
      <c r="I525" s="27" t="n"/>
      <c r="J525" s="8" t="n"/>
      <c r="K525" s="8" t="n"/>
      <c r="L525" s="10" t="n"/>
      <c r="M525" s="8" t="n"/>
      <c r="N525" s="11">
        <f>IF(OR(J525="",H525="",I525=""),"",J525/((I525-H525)*1440))</f>
        <v/>
      </c>
      <c r="O525" s="7" t="n"/>
      <c r="P525" s="7" t="n"/>
      <c r="Q525" s="7" t="n"/>
      <c r="R525" s="12" t="n"/>
      <c r="S525" s="13">
        <f>IF(OR(R525="",J525=""),"",R525/J525-1)</f>
        <v/>
      </c>
      <c r="T525" s="14">
        <f>IF(OR(L525="",R525="",J525=""),"",SQRT(4+(L525^2-4)*(R525/J525)^2))</f>
        <v/>
      </c>
      <c r="U525" s="7" t="n"/>
      <c r="V525" s="7" t="n"/>
    </row>
    <row r="526">
      <c r="A526" s="7" t="inlineStr">
        <is>
          <t>L-1-5-i3</t>
        </is>
      </c>
      <c r="B526" s="7" t="inlineStr">
        <is>
          <t>1</t>
        </is>
      </c>
      <c r="C526" s="7" t="inlineStr">
        <is>
          <t>L</t>
        </is>
      </c>
      <c r="D526" s="7" t="inlineStr">
        <is>
          <t>Copper L</t>
        </is>
      </c>
      <c r="E526" s="7" t="n">
        <v>5</v>
      </c>
      <c r="F526" s="7" t="n">
        <v>3</v>
      </c>
      <c r="G526" s="8" t="n"/>
      <c r="H526" s="27" t="n"/>
      <c r="I526" s="27" t="n"/>
      <c r="J526" s="8" t="n"/>
      <c r="K526" s="8" t="n"/>
      <c r="L526" s="10" t="n"/>
      <c r="M526" s="8" t="n"/>
      <c r="N526" s="11">
        <f>IF(OR(J526="",H526="",I526=""),"",J526/((I526-H526)*1440))</f>
        <v/>
      </c>
      <c r="O526" s="7" t="n"/>
      <c r="P526" s="7" t="n"/>
      <c r="Q526" s="7" t="n"/>
      <c r="R526" s="12" t="n"/>
      <c r="S526" s="13">
        <f>IF(OR(R526="",J526=""),"",R526/J526-1)</f>
        <v/>
      </c>
      <c r="T526" s="14">
        <f>IF(OR(L526="",R526="",J526=""),"",SQRT(4+(L526^2-4)*(R526/J526)^2))</f>
        <v/>
      </c>
      <c r="U526" s="7" t="n"/>
      <c r="V526" s="7" t="n"/>
    </row>
    <row r="527">
      <c r="A527" s="7" t="inlineStr">
        <is>
          <t>L-1-10-i1</t>
        </is>
      </c>
      <c r="B527" s="7" t="inlineStr">
        <is>
          <t>1</t>
        </is>
      </c>
      <c r="C527" s="7" t="inlineStr">
        <is>
          <t>L</t>
        </is>
      </c>
      <c r="D527" s="7" t="inlineStr">
        <is>
          <t>Copper L</t>
        </is>
      </c>
      <c r="E527" s="7" t="n">
        <v>10</v>
      </c>
      <c r="F527" s="7" t="n">
        <v>1</v>
      </c>
      <c r="G527" s="8" t="n"/>
      <c r="H527" s="27" t="n"/>
      <c r="I527" s="27" t="n"/>
      <c r="J527" s="8" t="n"/>
      <c r="K527" s="8" t="n"/>
      <c r="L527" s="10" t="n"/>
      <c r="M527" s="8" t="n"/>
      <c r="N527" s="11">
        <f>IF(OR(J527="",H527="",I527=""),"",J527/((I527-H527)*1440))</f>
        <v/>
      </c>
      <c r="O527" s="7" t="n"/>
      <c r="P527" s="7" t="n"/>
      <c r="Q527" s="7" t="n"/>
      <c r="R527" s="12" t="n"/>
      <c r="S527" s="13">
        <f>IF(OR(R527="",J527=""),"",R527/J527-1)</f>
        <v/>
      </c>
      <c r="T527" s="14">
        <f>IF(OR(L527="",R527="",J527=""),"",SQRT(4+(L527^2-4)*(R527/J527)^2))</f>
        <v/>
      </c>
      <c r="U527" s="7" t="n"/>
      <c r="V527" s="7" t="n"/>
    </row>
    <row r="528">
      <c r="A528" s="7" t="inlineStr">
        <is>
          <t>L-1-10-i2</t>
        </is>
      </c>
      <c r="B528" s="7" t="inlineStr">
        <is>
          <t>1</t>
        </is>
      </c>
      <c r="C528" s="7" t="inlineStr">
        <is>
          <t>L</t>
        </is>
      </c>
      <c r="D528" s="7" t="inlineStr">
        <is>
          <t>Copper L</t>
        </is>
      </c>
      <c r="E528" s="7" t="n">
        <v>10</v>
      </c>
      <c r="F528" s="7" t="n">
        <v>2</v>
      </c>
      <c r="G528" s="8" t="n"/>
      <c r="H528" s="27" t="n"/>
      <c r="I528" s="27" t="n"/>
      <c r="J528" s="8" t="n"/>
      <c r="K528" s="8" t="n"/>
      <c r="L528" s="10" t="n"/>
      <c r="M528" s="8" t="n"/>
      <c r="N528" s="11">
        <f>IF(OR(J528="",H528="",I528=""),"",J528/((I528-H528)*1440))</f>
        <v/>
      </c>
      <c r="O528" s="7" t="n"/>
      <c r="P528" s="7" t="n"/>
      <c r="Q528" s="7" t="n"/>
      <c r="R528" s="12" t="n"/>
      <c r="S528" s="13">
        <f>IF(OR(R528="",J528=""),"",R528/J528-1)</f>
        <v/>
      </c>
      <c r="T528" s="14">
        <f>IF(OR(L528="",R528="",J528=""),"",SQRT(4+(L528^2-4)*(R528/J528)^2))</f>
        <v/>
      </c>
      <c r="U528" s="7" t="n"/>
      <c r="V528" s="7" t="n"/>
    </row>
    <row r="529">
      <c r="A529" s="7" t="inlineStr">
        <is>
          <t>L-1-10-i3</t>
        </is>
      </c>
      <c r="B529" s="7" t="inlineStr">
        <is>
          <t>1</t>
        </is>
      </c>
      <c r="C529" s="7" t="inlineStr">
        <is>
          <t>L</t>
        </is>
      </c>
      <c r="D529" s="7" t="inlineStr">
        <is>
          <t>Copper L</t>
        </is>
      </c>
      <c r="E529" s="7" t="n">
        <v>10</v>
      </c>
      <c r="F529" s="7" t="n">
        <v>3</v>
      </c>
      <c r="G529" s="8" t="n"/>
      <c r="H529" s="27" t="n"/>
      <c r="I529" s="27" t="n"/>
      <c r="J529" s="8" t="n"/>
      <c r="K529" s="8" t="n"/>
      <c r="L529" s="10" t="n"/>
      <c r="M529" s="8" t="n"/>
      <c r="N529" s="11">
        <f>IF(OR(J529="",H529="",I529=""),"",J529/((I529-H529)*1440))</f>
        <v/>
      </c>
      <c r="O529" s="7" t="n"/>
      <c r="P529" s="7" t="n"/>
      <c r="Q529" s="7" t="n"/>
      <c r="R529" s="12" t="n"/>
      <c r="S529" s="13">
        <f>IF(OR(R529="",J529=""),"",R529/J529-1)</f>
        <v/>
      </c>
      <c r="T529" s="14">
        <f>IF(OR(L529="",R529="",J529=""),"",SQRT(4+(L529^2-4)*(R529/J529)^2))</f>
        <v/>
      </c>
      <c r="U529" s="7" t="n"/>
      <c r="V529" s="7" t="n"/>
    </row>
    <row r="530">
      <c r="A530" s="7" t="inlineStr">
        <is>
          <t>M-1-0.5-i1</t>
        </is>
      </c>
      <c r="B530" s="7" t="inlineStr">
        <is>
          <t>1</t>
        </is>
      </c>
      <c r="C530" s="7" t="inlineStr">
        <is>
          <t>M</t>
        </is>
      </c>
      <c r="D530" s="7" t="inlineStr">
        <is>
          <t>Copper M</t>
        </is>
      </c>
      <c r="E530" s="7" t="n">
        <v>0.5</v>
      </c>
      <c r="F530" s="7" t="n">
        <v>1</v>
      </c>
      <c r="G530" s="8" t="n"/>
      <c r="H530" s="27" t="n"/>
      <c r="I530" s="27" t="n"/>
      <c r="J530" s="8" t="n"/>
      <c r="K530" s="8" t="n"/>
      <c r="L530" s="10" t="n"/>
      <c r="M530" s="8" t="n"/>
      <c r="N530" s="11">
        <f>IF(OR(J530="",H530="",I530=""),"",J530/((I530-H530)*1440))</f>
        <v/>
      </c>
      <c r="O530" s="7" t="n"/>
      <c r="P530" s="7" t="n"/>
      <c r="Q530" s="7" t="n"/>
      <c r="R530" s="12" t="n"/>
      <c r="S530" s="13">
        <f>IF(OR(R530="",J530=""),"",R530/J530-1)</f>
        <v/>
      </c>
      <c r="T530" s="14">
        <f>IF(OR(L530="",R530="",J530=""),"",SQRT(4+(L530^2-4)*(R530/J530)^2))</f>
        <v/>
      </c>
      <c r="U530" s="7" t="n"/>
      <c r="V530" s="7" t="n"/>
    </row>
    <row r="531">
      <c r="A531" s="7" t="inlineStr">
        <is>
          <t>M-1-0.5-i2</t>
        </is>
      </c>
      <c r="B531" s="7" t="inlineStr">
        <is>
          <t>1</t>
        </is>
      </c>
      <c r="C531" s="7" t="inlineStr">
        <is>
          <t>M</t>
        </is>
      </c>
      <c r="D531" s="7" t="inlineStr">
        <is>
          <t>Copper M</t>
        </is>
      </c>
      <c r="E531" s="7" t="n">
        <v>0.5</v>
      </c>
      <c r="F531" s="7" t="n">
        <v>2</v>
      </c>
      <c r="G531" s="8" t="n"/>
      <c r="H531" s="27" t="n"/>
      <c r="I531" s="27" t="n"/>
      <c r="J531" s="8" t="n"/>
      <c r="K531" s="8" t="n"/>
      <c r="L531" s="10" t="n"/>
      <c r="M531" s="8" t="n"/>
      <c r="N531" s="11">
        <f>IF(OR(J531="",H531="",I531=""),"",J531/((I531-H531)*1440))</f>
        <v/>
      </c>
      <c r="O531" s="7" t="n"/>
      <c r="P531" s="7" t="n"/>
      <c r="Q531" s="7" t="n"/>
      <c r="R531" s="12" t="n"/>
      <c r="S531" s="13">
        <f>IF(OR(R531="",J531=""),"",R531/J531-1)</f>
        <v/>
      </c>
      <c r="T531" s="14">
        <f>IF(OR(L531="",R531="",J531=""),"",SQRT(4+(L531^2-4)*(R531/J531)^2))</f>
        <v/>
      </c>
      <c r="U531" s="7" t="n"/>
      <c r="V531" s="7" t="n"/>
    </row>
    <row r="532">
      <c r="A532" s="7" t="inlineStr">
        <is>
          <t>M-1-0.5-i3</t>
        </is>
      </c>
      <c r="B532" s="7" t="inlineStr">
        <is>
          <t>1</t>
        </is>
      </c>
      <c r="C532" s="7" t="inlineStr">
        <is>
          <t>M</t>
        </is>
      </c>
      <c r="D532" s="7" t="inlineStr">
        <is>
          <t>Copper M</t>
        </is>
      </c>
      <c r="E532" s="7" t="n">
        <v>0.5</v>
      </c>
      <c r="F532" s="7" t="n">
        <v>3</v>
      </c>
      <c r="G532" s="8" t="n"/>
      <c r="H532" s="27" t="n"/>
      <c r="I532" s="27" t="n"/>
      <c r="J532" s="8" t="n"/>
      <c r="K532" s="8" t="n"/>
      <c r="L532" s="10" t="n"/>
      <c r="M532" s="8" t="n"/>
      <c r="N532" s="11">
        <f>IF(OR(J532="",H532="",I532=""),"",J532/((I532-H532)*1440))</f>
        <v/>
      </c>
      <c r="O532" s="7" t="n"/>
      <c r="P532" s="7" t="n"/>
      <c r="Q532" s="7" t="n"/>
      <c r="R532" s="12" t="n"/>
      <c r="S532" s="13">
        <f>IF(OR(R532="",J532=""),"",R532/J532-1)</f>
        <v/>
      </c>
      <c r="T532" s="14">
        <f>IF(OR(L532="",R532="",J532=""),"",SQRT(4+(L532^2-4)*(R532/J532)^2))</f>
        <v/>
      </c>
      <c r="U532" s="7" t="n"/>
      <c r="V532" s="7" t="n"/>
    </row>
    <row r="533">
      <c r="A533" s="7" t="inlineStr">
        <is>
          <t>M-1-1-i1</t>
        </is>
      </c>
      <c r="B533" s="7" t="inlineStr">
        <is>
          <t>1</t>
        </is>
      </c>
      <c r="C533" s="7" t="inlineStr">
        <is>
          <t>M</t>
        </is>
      </c>
      <c r="D533" s="7" t="inlineStr">
        <is>
          <t>Copper M</t>
        </is>
      </c>
      <c r="E533" s="7" t="n">
        <v>1</v>
      </c>
      <c r="F533" s="7" t="n">
        <v>1</v>
      </c>
      <c r="G533" s="8" t="n"/>
      <c r="H533" s="27" t="n"/>
      <c r="I533" s="27" t="n"/>
      <c r="J533" s="8" t="n"/>
      <c r="K533" s="8" t="n"/>
      <c r="L533" s="10" t="n"/>
      <c r="M533" s="8" t="n"/>
      <c r="N533" s="11">
        <f>IF(OR(J533="",H533="",I533=""),"",J533/((I533-H533)*1440))</f>
        <v/>
      </c>
      <c r="O533" s="7" t="n"/>
      <c r="P533" s="7" t="n"/>
      <c r="Q533" s="7" t="n"/>
      <c r="R533" s="12" t="n"/>
      <c r="S533" s="13">
        <f>IF(OR(R533="",J533=""),"",R533/J533-1)</f>
        <v/>
      </c>
      <c r="T533" s="14">
        <f>IF(OR(L533="",R533="",J533=""),"",SQRT(4+(L533^2-4)*(R533/J533)^2))</f>
        <v/>
      </c>
      <c r="U533" s="7" t="n"/>
      <c r="V533" s="7" t="n"/>
    </row>
    <row r="534">
      <c r="A534" s="7" t="inlineStr">
        <is>
          <t>M-1-1-i2</t>
        </is>
      </c>
      <c r="B534" s="7" t="inlineStr">
        <is>
          <t>1</t>
        </is>
      </c>
      <c r="C534" s="7" t="inlineStr">
        <is>
          <t>M</t>
        </is>
      </c>
      <c r="D534" s="7" t="inlineStr">
        <is>
          <t>Copper M</t>
        </is>
      </c>
      <c r="E534" s="7" t="n">
        <v>1</v>
      </c>
      <c r="F534" s="7" t="n">
        <v>2</v>
      </c>
      <c r="G534" s="8" t="n"/>
      <c r="H534" s="27" t="n"/>
      <c r="I534" s="27" t="n"/>
      <c r="J534" s="8" t="n"/>
      <c r="K534" s="8" t="n"/>
      <c r="L534" s="10" t="n"/>
      <c r="M534" s="8" t="n"/>
      <c r="N534" s="11">
        <f>IF(OR(J534="",H534="",I534=""),"",J534/((I534-H534)*1440))</f>
        <v/>
      </c>
      <c r="O534" s="7" t="n"/>
      <c r="P534" s="7" t="n"/>
      <c r="Q534" s="7" t="n"/>
      <c r="R534" s="12" t="n"/>
      <c r="S534" s="13">
        <f>IF(OR(R534="",J534=""),"",R534/J534-1)</f>
        <v/>
      </c>
      <c r="T534" s="14">
        <f>IF(OR(L534="",R534="",J534=""),"",SQRT(4+(L534^2-4)*(R534/J534)^2))</f>
        <v/>
      </c>
      <c r="U534" s="7" t="n"/>
      <c r="V534" s="7" t="n"/>
    </row>
    <row r="535">
      <c r="A535" s="7" t="inlineStr">
        <is>
          <t>M-1-1-i3</t>
        </is>
      </c>
      <c r="B535" s="7" t="inlineStr">
        <is>
          <t>1</t>
        </is>
      </c>
      <c r="C535" s="7" t="inlineStr">
        <is>
          <t>M</t>
        </is>
      </c>
      <c r="D535" s="7" t="inlineStr">
        <is>
          <t>Copper M</t>
        </is>
      </c>
      <c r="E535" s="7" t="n">
        <v>1</v>
      </c>
      <c r="F535" s="7" t="n">
        <v>3</v>
      </c>
      <c r="G535" s="8" t="n"/>
      <c r="H535" s="27" t="n"/>
      <c r="I535" s="27" t="n"/>
      <c r="J535" s="8" t="n"/>
      <c r="K535" s="8" t="n"/>
      <c r="L535" s="10" t="n"/>
      <c r="M535" s="8" t="n"/>
      <c r="N535" s="11">
        <f>IF(OR(J535="",H535="",I535=""),"",J535/((I535-H535)*1440))</f>
        <v/>
      </c>
      <c r="O535" s="7" t="n"/>
      <c r="P535" s="7" t="n"/>
      <c r="Q535" s="7" t="n"/>
      <c r="R535" s="12" t="n"/>
      <c r="S535" s="13">
        <f>IF(OR(R535="",J535=""),"",R535/J535-1)</f>
        <v/>
      </c>
      <c r="T535" s="14">
        <f>IF(OR(L535="",R535="",J535=""),"",SQRT(4+(L535^2-4)*(R535/J535)^2))</f>
        <v/>
      </c>
      <c r="U535" s="7" t="n"/>
      <c r="V535" s="7" t="n"/>
    </row>
    <row r="536">
      <c r="A536" s="7" t="inlineStr">
        <is>
          <t>M-1-3-i1</t>
        </is>
      </c>
      <c r="B536" s="7" t="inlineStr">
        <is>
          <t>1</t>
        </is>
      </c>
      <c r="C536" s="7" t="inlineStr">
        <is>
          <t>M</t>
        </is>
      </c>
      <c r="D536" s="7" t="inlineStr">
        <is>
          <t>Copper M</t>
        </is>
      </c>
      <c r="E536" s="7" t="n">
        <v>3</v>
      </c>
      <c r="F536" s="7" t="n">
        <v>1</v>
      </c>
      <c r="G536" s="8" t="n"/>
      <c r="H536" s="27" t="n"/>
      <c r="I536" s="27" t="n"/>
      <c r="J536" s="8" t="n"/>
      <c r="K536" s="8" t="n"/>
      <c r="L536" s="10" t="n"/>
      <c r="M536" s="8" t="n"/>
      <c r="N536" s="11">
        <f>IF(OR(J536="",H536="",I536=""),"",J536/((I536-H536)*1440))</f>
        <v/>
      </c>
      <c r="O536" s="7" t="n"/>
      <c r="P536" s="7" t="n"/>
      <c r="Q536" s="7" t="n"/>
      <c r="R536" s="12" t="n"/>
      <c r="S536" s="13">
        <f>IF(OR(R536="",J536=""),"",R536/J536-1)</f>
        <v/>
      </c>
      <c r="T536" s="14">
        <f>IF(OR(L536="",R536="",J536=""),"",SQRT(4+(L536^2-4)*(R536/J536)^2))</f>
        <v/>
      </c>
      <c r="U536" s="7" t="n"/>
      <c r="V536" s="7" t="n"/>
    </row>
    <row r="537">
      <c r="A537" s="7" t="inlineStr">
        <is>
          <t>M-1-3-i2</t>
        </is>
      </c>
      <c r="B537" s="7" t="inlineStr">
        <is>
          <t>1</t>
        </is>
      </c>
      <c r="C537" s="7" t="inlineStr">
        <is>
          <t>M</t>
        </is>
      </c>
      <c r="D537" s="7" t="inlineStr">
        <is>
          <t>Copper M</t>
        </is>
      </c>
      <c r="E537" s="7" t="n">
        <v>3</v>
      </c>
      <c r="F537" s="7" t="n">
        <v>2</v>
      </c>
      <c r="G537" s="8" t="n"/>
      <c r="H537" s="27" t="n"/>
      <c r="I537" s="27" t="n"/>
      <c r="J537" s="8" t="n"/>
      <c r="K537" s="8" t="n"/>
      <c r="L537" s="10" t="n"/>
      <c r="M537" s="8" t="n"/>
      <c r="N537" s="11">
        <f>IF(OR(J537="",H537="",I537=""),"",J537/((I537-H537)*1440))</f>
        <v/>
      </c>
      <c r="O537" s="7" t="n"/>
      <c r="P537" s="7" t="n"/>
      <c r="Q537" s="7" t="n"/>
      <c r="R537" s="12" t="n"/>
      <c r="S537" s="13">
        <f>IF(OR(R537="",J537=""),"",R537/J537-1)</f>
        <v/>
      </c>
      <c r="T537" s="14">
        <f>IF(OR(L537="",R537="",J537=""),"",SQRT(4+(L537^2-4)*(R537/J537)^2))</f>
        <v/>
      </c>
      <c r="U537" s="7" t="n"/>
      <c r="V537" s="7" t="n"/>
    </row>
    <row r="538">
      <c r="A538" s="7" t="inlineStr">
        <is>
          <t>M-1-3-i3</t>
        </is>
      </c>
      <c r="B538" s="7" t="inlineStr">
        <is>
          <t>1</t>
        </is>
      </c>
      <c r="C538" s="7" t="inlineStr">
        <is>
          <t>M</t>
        </is>
      </c>
      <c r="D538" s="7" t="inlineStr">
        <is>
          <t>Copper M</t>
        </is>
      </c>
      <c r="E538" s="7" t="n">
        <v>3</v>
      </c>
      <c r="F538" s="7" t="n">
        <v>3</v>
      </c>
      <c r="G538" s="8" t="n"/>
      <c r="H538" s="27" t="n"/>
      <c r="I538" s="27" t="n"/>
      <c r="J538" s="8" t="n"/>
      <c r="K538" s="8" t="n"/>
      <c r="L538" s="10" t="n"/>
      <c r="M538" s="8" t="n"/>
      <c r="N538" s="11">
        <f>IF(OR(J538="",H538="",I538=""),"",J538/((I538-H538)*1440))</f>
        <v/>
      </c>
      <c r="O538" s="7" t="n"/>
      <c r="P538" s="7" t="n"/>
      <c r="Q538" s="7" t="n"/>
      <c r="R538" s="12" t="n"/>
      <c r="S538" s="13">
        <f>IF(OR(R538="",J538=""),"",R538/J538-1)</f>
        <v/>
      </c>
      <c r="T538" s="14">
        <f>IF(OR(L538="",R538="",J538=""),"",SQRT(4+(L538^2-4)*(R538/J538)^2))</f>
        <v/>
      </c>
      <c r="U538" s="7" t="n"/>
      <c r="V538" s="7" t="n"/>
    </row>
    <row r="539">
      <c r="A539" s="7" t="inlineStr">
        <is>
          <t>M-1-5-i1</t>
        </is>
      </c>
      <c r="B539" s="7" t="inlineStr">
        <is>
          <t>1</t>
        </is>
      </c>
      <c r="C539" s="7" t="inlineStr">
        <is>
          <t>M</t>
        </is>
      </c>
      <c r="D539" s="7" t="inlineStr">
        <is>
          <t>Copper M</t>
        </is>
      </c>
      <c r="E539" s="7" t="n">
        <v>5</v>
      </c>
      <c r="F539" s="7" t="n">
        <v>1</v>
      </c>
      <c r="G539" s="8" t="n"/>
      <c r="H539" s="27" t="n"/>
      <c r="I539" s="27" t="n"/>
      <c r="J539" s="8" t="n"/>
      <c r="K539" s="8" t="n"/>
      <c r="L539" s="10" t="n"/>
      <c r="M539" s="8" t="n"/>
      <c r="N539" s="11">
        <f>IF(OR(J539="",H539="",I539=""),"",J539/((I539-H539)*1440))</f>
        <v/>
      </c>
      <c r="O539" s="7" t="n"/>
      <c r="P539" s="7" t="n"/>
      <c r="Q539" s="7" t="n"/>
      <c r="R539" s="12" t="n"/>
      <c r="S539" s="13">
        <f>IF(OR(R539="",J539=""),"",R539/J539-1)</f>
        <v/>
      </c>
      <c r="T539" s="14">
        <f>IF(OR(L539="",R539="",J539=""),"",SQRT(4+(L539^2-4)*(R539/J539)^2))</f>
        <v/>
      </c>
      <c r="U539" s="7" t="n"/>
      <c r="V539" s="7" t="n"/>
    </row>
    <row r="540">
      <c r="A540" s="7" t="inlineStr">
        <is>
          <t>M-1-5-i2</t>
        </is>
      </c>
      <c r="B540" s="7" t="inlineStr">
        <is>
          <t>1</t>
        </is>
      </c>
      <c r="C540" s="7" t="inlineStr">
        <is>
          <t>M</t>
        </is>
      </c>
      <c r="D540" s="7" t="inlineStr">
        <is>
          <t>Copper M</t>
        </is>
      </c>
      <c r="E540" s="7" t="n">
        <v>5</v>
      </c>
      <c r="F540" s="7" t="n">
        <v>2</v>
      </c>
      <c r="G540" s="8" t="n"/>
      <c r="H540" s="27" t="n"/>
      <c r="I540" s="27" t="n"/>
      <c r="J540" s="8" t="n"/>
      <c r="K540" s="8" t="n"/>
      <c r="L540" s="10" t="n"/>
      <c r="M540" s="8" t="n"/>
      <c r="N540" s="11">
        <f>IF(OR(J540="",H540="",I540=""),"",J540/((I540-H540)*1440))</f>
        <v/>
      </c>
      <c r="O540" s="7" t="n"/>
      <c r="P540" s="7" t="n"/>
      <c r="Q540" s="7" t="n"/>
      <c r="R540" s="12" t="n"/>
      <c r="S540" s="13">
        <f>IF(OR(R540="",J540=""),"",R540/J540-1)</f>
        <v/>
      </c>
      <c r="T540" s="14">
        <f>IF(OR(L540="",R540="",J540=""),"",SQRT(4+(L540^2-4)*(R540/J540)^2))</f>
        <v/>
      </c>
      <c r="U540" s="7" t="n"/>
      <c r="V540" s="7" t="n"/>
    </row>
    <row r="541">
      <c r="A541" s="7" t="inlineStr">
        <is>
          <t>M-1-5-i3</t>
        </is>
      </c>
      <c r="B541" s="7" t="inlineStr">
        <is>
          <t>1</t>
        </is>
      </c>
      <c r="C541" s="7" t="inlineStr">
        <is>
          <t>M</t>
        </is>
      </c>
      <c r="D541" s="7" t="inlineStr">
        <is>
          <t>Copper M</t>
        </is>
      </c>
      <c r="E541" s="7" t="n">
        <v>5</v>
      </c>
      <c r="F541" s="7" t="n">
        <v>3</v>
      </c>
      <c r="G541" s="8" t="n"/>
      <c r="H541" s="27" t="n"/>
      <c r="I541" s="27" t="n"/>
      <c r="J541" s="8" t="n"/>
      <c r="K541" s="8" t="n"/>
      <c r="L541" s="10" t="n"/>
      <c r="M541" s="8" t="n"/>
      <c r="N541" s="11">
        <f>IF(OR(J541="",H541="",I541=""),"",J541/((I541-H541)*1440))</f>
        <v/>
      </c>
      <c r="O541" s="7" t="n"/>
      <c r="P541" s="7" t="n"/>
      <c r="Q541" s="7" t="n"/>
      <c r="R541" s="12" t="n"/>
      <c r="S541" s="13">
        <f>IF(OR(R541="",J541=""),"",R541/J541-1)</f>
        <v/>
      </c>
      <c r="T541" s="14">
        <f>IF(OR(L541="",R541="",J541=""),"",SQRT(4+(L541^2-4)*(R541/J541)^2))</f>
        <v/>
      </c>
      <c r="U541" s="7" t="n"/>
      <c r="V541" s="7" t="n"/>
    </row>
    <row r="542">
      <c r="A542" s="7" t="inlineStr">
        <is>
          <t>M-1-10-i1</t>
        </is>
      </c>
      <c r="B542" s="7" t="inlineStr">
        <is>
          <t>1</t>
        </is>
      </c>
      <c r="C542" s="7" t="inlineStr">
        <is>
          <t>M</t>
        </is>
      </c>
      <c r="D542" s="7" t="inlineStr">
        <is>
          <t>Copper M</t>
        </is>
      </c>
      <c r="E542" s="7" t="n">
        <v>10</v>
      </c>
      <c r="F542" s="7" t="n">
        <v>1</v>
      </c>
      <c r="G542" s="8" t="n"/>
      <c r="H542" s="27" t="n"/>
      <c r="I542" s="27" t="n"/>
      <c r="J542" s="8" t="n"/>
      <c r="K542" s="8" t="n"/>
      <c r="L542" s="10" t="n"/>
      <c r="M542" s="8" t="n"/>
      <c r="N542" s="11">
        <f>IF(OR(J542="",H542="",I542=""),"",J542/((I542-H542)*1440))</f>
        <v/>
      </c>
      <c r="O542" s="7" t="n"/>
      <c r="P542" s="7" t="n"/>
      <c r="Q542" s="7" t="n"/>
      <c r="R542" s="12" t="n"/>
      <c r="S542" s="13">
        <f>IF(OR(R542="",J542=""),"",R542/J542-1)</f>
        <v/>
      </c>
      <c r="T542" s="14">
        <f>IF(OR(L542="",R542="",J542=""),"",SQRT(4+(L542^2-4)*(R542/J542)^2))</f>
        <v/>
      </c>
      <c r="U542" s="7" t="n"/>
      <c r="V542" s="7" t="n"/>
    </row>
    <row r="543">
      <c r="A543" s="7" t="inlineStr">
        <is>
          <t>M-1-10-i2</t>
        </is>
      </c>
      <c r="B543" s="7" t="inlineStr">
        <is>
          <t>1</t>
        </is>
      </c>
      <c r="C543" s="7" t="inlineStr">
        <is>
          <t>M</t>
        </is>
      </c>
      <c r="D543" s="7" t="inlineStr">
        <is>
          <t>Copper M</t>
        </is>
      </c>
      <c r="E543" s="7" t="n">
        <v>10</v>
      </c>
      <c r="F543" s="7" t="n">
        <v>2</v>
      </c>
      <c r="G543" s="8" t="n"/>
      <c r="H543" s="27" t="n"/>
      <c r="I543" s="27" t="n"/>
      <c r="J543" s="8" t="n"/>
      <c r="K543" s="8" t="n"/>
      <c r="L543" s="10" t="n"/>
      <c r="M543" s="8" t="n"/>
      <c r="N543" s="11">
        <f>IF(OR(J543="",H543="",I543=""),"",J543/((I543-H543)*1440))</f>
        <v/>
      </c>
      <c r="O543" s="7" t="n"/>
      <c r="P543" s="7" t="n"/>
      <c r="Q543" s="7" t="n"/>
      <c r="R543" s="12" t="n"/>
      <c r="S543" s="13">
        <f>IF(OR(R543="",J543=""),"",R543/J543-1)</f>
        <v/>
      </c>
      <c r="T543" s="14">
        <f>IF(OR(L543="",R543="",J543=""),"",SQRT(4+(L543^2-4)*(R543/J543)^2))</f>
        <v/>
      </c>
      <c r="U543" s="7" t="n"/>
      <c r="V543" s="7" t="n"/>
    </row>
    <row r="544">
      <c r="A544" s="7" t="inlineStr">
        <is>
          <t>M-1-10-i3</t>
        </is>
      </c>
      <c r="B544" s="7" t="inlineStr">
        <is>
          <t>1</t>
        </is>
      </c>
      <c r="C544" s="7" t="inlineStr">
        <is>
          <t>M</t>
        </is>
      </c>
      <c r="D544" s="7" t="inlineStr">
        <is>
          <t>Copper M</t>
        </is>
      </c>
      <c r="E544" s="7" t="n">
        <v>10</v>
      </c>
      <c r="F544" s="7" t="n">
        <v>3</v>
      </c>
      <c r="G544" s="8" t="n"/>
      <c r="H544" s="27" t="n"/>
      <c r="I544" s="27" t="n"/>
      <c r="J544" s="8" t="n"/>
      <c r="K544" s="8" t="n"/>
      <c r="L544" s="10" t="n"/>
      <c r="M544" s="8" t="n"/>
      <c r="N544" s="11">
        <f>IF(OR(J544="",H544="",I544=""),"",J544/((I544-H544)*1440))</f>
        <v/>
      </c>
      <c r="O544" s="7" t="n"/>
      <c r="P544" s="7" t="n"/>
      <c r="Q544" s="7" t="n"/>
      <c r="R544" s="12" t="n"/>
      <c r="S544" s="13">
        <f>IF(OR(R544="",J544=""),"",R544/J544-1)</f>
        <v/>
      </c>
      <c r="T544" s="14">
        <f>IF(OR(L544="",R544="",J544=""),"",SQRT(4+(L544^2-4)*(R544/J544)^2))</f>
        <v/>
      </c>
      <c r="U544" s="7" t="n"/>
      <c r="V544" s="7" t="n"/>
    </row>
    <row r="545">
      <c r="A545" s="7" t="inlineStr">
        <is>
          <t>P-1-0.5-i1</t>
        </is>
      </c>
      <c r="B545" s="7" t="inlineStr">
        <is>
          <t>1</t>
        </is>
      </c>
      <c r="C545" s="7" t="inlineStr">
        <is>
          <t>P</t>
        </is>
      </c>
      <c r="D545" s="7" t="inlineStr">
        <is>
          <t>PVC-40</t>
        </is>
      </c>
      <c r="E545" s="7" t="n">
        <v>0.5</v>
      </c>
      <c r="F545" s="7" t="n">
        <v>1</v>
      </c>
      <c r="G545" s="8" t="n"/>
      <c r="H545" s="27" t="n"/>
      <c r="I545" s="27" t="n"/>
      <c r="J545" s="8" t="n"/>
      <c r="K545" s="8" t="n"/>
      <c r="L545" s="10" t="n"/>
      <c r="M545" s="8" t="n"/>
      <c r="N545" s="11">
        <f>IF(OR(J545="",H545="",I545=""),"",J545/((I545-H545)*1440))</f>
        <v/>
      </c>
      <c r="O545" s="7" t="n"/>
      <c r="P545" s="7" t="n"/>
      <c r="Q545" s="7" t="n"/>
      <c r="R545" s="12" t="n"/>
      <c r="S545" s="13">
        <f>IF(OR(R545="",J545=""),"",R545/J545-1)</f>
        <v/>
      </c>
      <c r="T545" s="14">
        <f>IF(OR(L545="",R545="",J545=""),"",SQRT(4+(L545^2-4)*(R545/J545)^2))</f>
        <v/>
      </c>
      <c r="U545" s="7" t="n"/>
      <c r="V545" s="7" t="n"/>
    </row>
    <row r="546">
      <c r="A546" s="7" t="inlineStr">
        <is>
          <t>P-1-0.5-i2</t>
        </is>
      </c>
      <c r="B546" s="7" t="inlineStr">
        <is>
          <t>1</t>
        </is>
      </c>
      <c r="C546" s="7" t="inlineStr">
        <is>
          <t>P</t>
        </is>
      </c>
      <c r="D546" s="7" t="inlineStr">
        <is>
          <t>PVC-40</t>
        </is>
      </c>
      <c r="E546" s="7" t="n">
        <v>0.5</v>
      </c>
      <c r="F546" s="7" t="n">
        <v>2</v>
      </c>
      <c r="G546" s="8" t="n"/>
      <c r="H546" s="27" t="n"/>
      <c r="I546" s="27" t="n"/>
      <c r="J546" s="8" t="n"/>
      <c r="K546" s="8" t="n"/>
      <c r="L546" s="10" t="n"/>
      <c r="M546" s="8" t="n"/>
      <c r="N546" s="11">
        <f>IF(OR(J546="",H546="",I546=""),"",J546/((I546-H546)*1440))</f>
        <v/>
      </c>
      <c r="O546" s="7" t="n"/>
      <c r="P546" s="7" t="n"/>
      <c r="Q546" s="7" t="n"/>
      <c r="R546" s="12" t="n"/>
      <c r="S546" s="13">
        <f>IF(OR(R546="",J546=""),"",R546/J546-1)</f>
        <v/>
      </c>
      <c r="T546" s="14">
        <f>IF(OR(L546="",R546="",J546=""),"",SQRT(4+(L546^2-4)*(R546/J546)^2))</f>
        <v/>
      </c>
      <c r="U546" s="7" t="n"/>
      <c r="V546" s="7" t="n"/>
    </row>
    <row r="547">
      <c r="A547" s="7" t="inlineStr">
        <is>
          <t>P-1-0.5-i3</t>
        </is>
      </c>
      <c r="B547" s="7" t="inlineStr">
        <is>
          <t>1</t>
        </is>
      </c>
      <c r="C547" s="7" t="inlineStr">
        <is>
          <t>P</t>
        </is>
      </c>
      <c r="D547" s="7" t="inlineStr">
        <is>
          <t>PVC-40</t>
        </is>
      </c>
      <c r="E547" s="7" t="n">
        <v>0.5</v>
      </c>
      <c r="F547" s="7" t="n">
        <v>3</v>
      </c>
      <c r="G547" s="8" t="n"/>
      <c r="H547" s="27" t="n"/>
      <c r="I547" s="27" t="n"/>
      <c r="J547" s="8" t="n"/>
      <c r="K547" s="8" t="n"/>
      <c r="L547" s="10" t="n"/>
      <c r="M547" s="8" t="n"/>
      <c r="N547" s="11">
        <f>IF(OR(J547="",H547="",I547=""),"",J547/((I547-H547)*1440))</f>
        <v/>
      </c>
      <c r="O547" s="7" t="n"/>
      <c r="P547" s="7" t="n"/>
      <c r="Q547" s="7" t="n"/>
      <c r="R547" s="12" t="n"/>
      <c r="S547" s="13">
        <f>IF(OR(R547="",J547=""),"",R547/J547-1)</f>
        <v/>
      </c>
      <c r="T547" s="14">
        <f>IF(OR(L547="",R547="",J547=""),"",SQRT(4+(L547^2-4)*(R547/J547)^2))</f>
        <v/>
      </c>
      <c r="U547" s="7" t="n"/>
      <c r="V547" s="7" t="n"/>
    </row>
    <row r="548">
      <c r="A548" s="7" t="inlineStr">
        <is>
          <t>P-1-1-i1</t>
        </is>
      </c>
      <c r="B548" s="7" t="inlineStr">
        <is>
          <t>1</t>
        </is>
      </c>
      <c r="C548" s="7" t="inlineStr">
        <is>
          <t>P</t>
        </is>
      </c>
      <c r="D548" s="7" t="inlineStr">
        <is>
          <t>PVC-40</t>
        </is>
      </c>
      <c r="E548" s="7" t="n">
        <v>1</v>
      </c>
      <c r="F548" s="7" t="n">
        <v>1</v>
      </c>
      <c r="G548" s="8" t="n"/>
      <c r="H548" s="27" t="n"/>
      <c r="I548" s="27" t="n"/>
      <c r="J548" s="8" t="n"/>
      <c r="K548" s="8" t="n"/>
      <c r="L548" s="10" t="n"/>
      <c r="M548" s="8" t="n"/>
      <c r="N548" s="11">
        <f>IF(OR(J548="",H548="",I548=""),"",J548/((I548-H548)*1440))</f>
        <v/>
      </c>
      <c r="O548" s="7" t="n"/>
      <c r="P548" s="7" t="n"/>
      <c r="Q548" s="7" t="n"/>
      <c r="R548" s="12" t="n"/>
      <c r="S548" s="13">
        <f>IF(OR(R548="",J548=""),"",R548/J548-1)</f>
        <v/>
      </c>
      <c r="T548" s="14">
        <f>IF(OR(L548="",R548="",J548=""),"",SQRT(4+(L548^2-4)*(R548/J548)^2))</f>
        <v/>
      </c>
      <c r="U548" s="7" t="n"/>
      <c r="V548" s="7" t="n"/>
    </row>
    <row r="549">
      <c r="A549" s="7" t="inlineStr">
        <is>
          <t>P-1-1-i2</t>
        </is>
      </c>
      <c r="B549" s="7" t="inlineStr">
        <is>
          <t>1</t>
        </is>
      </c>
      <c r="C549" s="7" t="inlineStr">
        <is>
          <t>P</t>
        </is>
      </c>
      <c r="D549" s="7" t="inlineStr">
        <is>
          <t>PVC-40</t>
        </is>
      </c>
      <c r="E549" s="7" t="n">
        <v>1</v>
      </c>
      <c r="F549" s="7" t="n">
        <v>2</v>
      </c>
      <c r="G549" s="8" t="n"/>
      <c r="H549" s="27" t="n"/>
      <c r="I549" s="27" t="n"/>
      <c r="J549" s="8" t="n"/>
      <c r="K549" s="8" t="n"/>
      <c r="L549" s="10" t="n"/>
      <c r="M549" s="8" t="n"/>
      <c r="N549" s="11">
        <f>IF(OR(J549="",H549="",I549=""),"",J549/((I549-H549)*1440))</f>
        <v/>
      </c>
      <c r="O549" s="7" t="n"/>
      <c r="P549" s="7" t="n"/>
      <c r="Q549" s="7" t="n"/>
      <c r="R549" s="12" t="n"/>
      <c r="S549" s="13">
        <f>IF(OR(R549="",J549=""),"",R549/J549-1)</f>
        <v/>
      </c>
      <c r="T549" s="14">
        <f>IF(OR(L549="",R549="",J549=""),"",SQRT(4+(L549^2-4)*(R549/J549)^2))</f>
        <v/>
      </c>
      <c r="U549" s="7" t="n"/>
      <c r="V549" s="7" t="n"/>
    </row>
    <row r="550">
      <c r="A550" s="7" t="inlineStr">
        <is>
          <t>P-1-1-i3</t>
        </is>
      </c>
      <c r="B550" s="7" t="inlineStr">
        <is>
          <t>1</t>
        </is>
      </c>
      <c r="C550" s="7" t="inlineStr">
        <is>
          <t>P</t>
        </is>
      </c>
      <c r="D550" s="7" t="inlineStr">
        <is>
          <t>PVC-40</t>
        </is>
      </c>
      <c r="E550" s="7" t="n">
        <v>1</v>
      </c>
      <c r="F550" s="7" t="n">
        <v>3</v>
      </c>
      <c r="G550" s="8" t="n"/>
      <c r="H550" s="27" t="n"/>
      <c r="I550" s="27" t="n"/>
      <c r="J550" s="8" t="n"/>
      <c r="K550" s="8" t="n"/>
      <c r="L550" s="10" t="n"/>
      <c r="M550" s="8" t="n"/>
      <c r="N550" s="11">
        <f>IF(OR(J550="",H550="",I550=""),"",J550/((I550-H550)*1440))</f>
        <v/>
      </c>
      <c r="O550" s="7" t="n"/>
      <c r="P550" s="7" t="n"/>
      <c r="Q550" s="7" t="n"/>
      <c r="R550" s="12" t="n"/>
      <c r="S550" s="13">
        <f>IF(OR(R550="",J550=""),"",R550/J550-1)</f>
        <v/>
      </c>
      <c r="T550" s="14">
        <f>IF(OR(L550="",R550="",J550=""),"",SQRT(4+(L550^2-4)*(R550/J550)^2))</f>
        <v/>
      </c>
      <c r="U550" s="7" t="n"/>
      <c r="V550" s="7" t="n"/>
    </row>
    <row r="551">
      <c r="A551" s="7" t="inlineStr">
        <is>
          <t>P-1-3-i1</t>
        </is>
      </c>
      <c r="B551" s="7" t="inlineStr">
        <is>
          <t>1</t>
        </is>
      </c>
      <c r="C551" s="7" t="inlineStr">
        <is>
          <t>P</t>
        </is>
      </c>
      <c r="D551" s="7" t="inlineStr">
        <is>
          <t>PVC-40</t>
        </is>
      </c>
      <c r="E551" s="7" t="n">
        <v>3</v>
      </c>
      <c r="F551" s="7" t="n">
        <v>1</v>
      </c>
      <c r="G551" s="8" t="n"/>
      <c r="H551" s="27" t="n"/>
      <c r="I551" s="27" t="n"/>
      <c r="J551" s="8" t="n"/>
      <c r="K551" s="8" t="n"/>
      <c r="L551" s="10" t="n"/>
      <c r="M551" s="8" t="n"/>
      <c r="N551" s="11">
        <f>IF(OR(J551="",H551="",I551=""),"",J551/((I551-H551)*1440))</f>
        <v/>
      </c>
      <c r="O551" s="7" t="n"/>
      <c r="P551" s="7" t="n"/>
      <c r="Q551" s="7" t="n"/>
      <c r="R551" s="12" t="n"/>
      <c r="S551" s="13">
        <f>IF(OR(R551="",J551=""),"",R551/J551-1)</f>
        <v/>
      </c>
      <c r="T551" s="14">
        <f>IF(OR(L551="",R551="",J551=""),"",SQRT(4+(L551^2-4)*(R551/J551)^2))</f>
        <v/>
      </c>
      <c r="U551" s="7" t="n"/>
      <c r="V551" s="7" t="n"/>
    </row>
    <row r="552">
      <c r="A552" s="7" t="inlineStr">
        <is>
          <t>P-1-3-i2</t>
        </is>
      </c>
      <c r="B552" s="7" t="inlineStr">
        <is>
          <t>1</t>
        </is>
      </c>
      <c r="C552" s="7" t="inlineStr">
        <is>
          <t>P</t>
        </is>
      </c>
      <c r="D552" s="7" t="inlineStr">
        <is>
          <t>PVC-40</t>
        </is>
      </c>
      <c r="E552" s="7" t="n">
        <v>3</v>
      </c>
      <c r="F552" s="7" t="n">
        <v>2</v>
      </c>
      <c r="G552" s="8" t="n"/>
      <c r="H552" s="27" t="n"/>
      <c r="I552" s="27" t="n"/>
      <c r="J552" s="8" t="n"/>
      <c r="K552" s="8" t="n"/>
      <c r="L552" s="10" t="n"/>
      <c r="M552" s="8" t="n"/>
      <c r="N552" s="11">
        <f>IF(OR(J552="",H552="",I552=""),"",J552/((I552-H552)*1440))</f>
        <v/>
      </c>
      <c r="O552" s="7" t="n"/>
      <c r="P552" s="7" t="n"/>
      <c r="Q552" s="7" t="n"/>
      <c r="R552" s="12" t="n"/>
      <c r="S552" s="13">
        <f>IF(OR(R552="",J552=""),"",R552/J552-1)</f>
        <v/>
      </c>
      <c r="T552" s="14">
        <f>IF(OR(L552="",R552="",J552=""),"",SQRT(4+(L552^2-4)*(R552/J552)^2))</f>
        <v/>
      </c>
      <c r="U552" s="7" t="n"/>
      <c r="V552" s="7" t="n"/>
    </row>
    <row r="553">
      <c r="A553" s="7" t="inlineStr">
        <is>
          <t>P-1-3-i3</t>
        </is>
      </c>
      <c r="B553" s="7" t="inlineStr">
        <is>
          <t>1</t>
        </is>
      </c>
      <c r="C553" s="7" t="inlineStr">
        <is>
          <t>P</t>
        </is>
      </c>
      <c r="D553" s="7" t="inlineStr">
        <is>
          <t>PVC-40</t>
        </is>
      </c>
      <c r="E553" s="7" t="n">
        <v>3</v>
      </c>
      <c r="F553" s="7" t="n">
        <v>3</v>
      </c>
      <c r="G553" s="8" t="n"/>
      <c r="H553" s="27" t="n"/>
      <c r="I553" s="27" t="n"/>
      <c r="J553" s="8" t="n"/>
      <c r="K553" s="8" t="n"/>
      <c r="L553" s="10" t="n"/>
      <c r="M553" s="8" t="n"/>
      <c r="N553" s="11">
        <f>IF(OR(J553="",H553="",I553=""),"",J553/((I553-H553)*1440))</f>
        <v/>
      </c>
      <c r="O553" s="7" t="n"/>
      <c r="P553" s="7" t="n"/>
      <c r="Q553" s="7" t="n"/>
      <c r="R553" s="12" t="n"/>
      <c r="S553" s="13">
        <f>IF(OR(R553="",J553=""),"",R553/J553-1)</f>
        <v/>
      </c>
      <c r="T553" s="14">
        <f>IF(OR(L553="",R553="",J553=""),"",SQRT(4+(L553^2-4)*(R553/J553)^2))</f>
        <v/>
      </c>
      <c r="U553" s="7" t="n"/>
      <c r="V553" s="7" t="n"/>
    </row>
    <row r="554">
      <c r="A554" s="7" t="inlineStr">
        <is>
          <t>P-1-5-i1</t>
        </is>
      </c>
      <c r="B554" s="7" t="inlineStr">
        <is>
          <t>1</t>
        </is>
      </c>
      <c r="C554" s="7" t="inlineStr">
        <is>
          <t>P</t>
        </is>
      </c>
      <c r="D554" s="7" t="inlineStr">
        <is>
          <t>PVC-40</t>
        </is>
      </c>
      <c r="E554" s="7" t="n">
        <v>5</v>
      </c>
      <c r="F554" s="7" t="n">
        <v>1</v>
      </c>
      <c r="G554" s="8" t="n"/>
      <c r="H554" s="27" t="n"/>
      <c r="I554" s="27" t="n"/>
      <c r="J554" s="8" t="n"/>
      <c r="K554" s="8" t="n"/>
      <c r="L554" s="10" t="n"/>
      <c r="M554" s="8" t="n"/>
      <c r="N554" s="11">
        <f>IF(OR(J554="",H554="",I554=""),"",J554/((I554-H554)*1440))</f>
        <v/>
      </c>
      <c r="O554" s="7" t="n"/>
      <c r="P554" s="7" t="n"/>
      <c r="Q554" s="7" t="n"/>
      <c r="R554" s="12" t="n"/>
      <c r="S554" s="13">
        <f>IF(OR(R554="",J554=""),"",R554/J554-1)</f>
        <v/>
      </c>
      <c r="T554" s="14">
        <f>IF(OR(L554="",R554="",J554=""),"",SQRT(4+(L554^2-4)*(R554/J554)^2))</f>
        <v/>
      </c>
      <c r="U554" s="7" t="n"/>
      <c r="V554" s="7" t="n"/>
    </row>
    <row r="555">
      <c r="A555" s="7" t="inlineStr">
        <is>
          <t>P-1-5-i2</t>
        </is>
      </c>
      <c r="B555" s="7" t="inlineStr">
        <is>
          <t>1</t>
        </is>
      </c>
      <c r="C555" s="7" t="inlineStr">
        <is>
          <t>P</t>
        </is>
      </c>
      <c r="D555" s="7" t="inlineStr">
        <is>
          <t>PVC-40</t>
        </is>
      </c>
      <c r="E555" s="7" t="n">
        <v>5</v>
      </c>
      <c r="F555" s="7" t="n">
        <v>2</v>
      </c>
      <c r="G555" s="8" t="n"/>
      <c r="H555" s="27" t="n"/>
      <c r="I555" s="27" t="n"/>
      <c r="J555" s="8" t="n"/>
      <c r="K555" s="8" t="n"/>
      <c r="L555" s="10" t="n"/>
      <c r="M555" s="8" t="n"/>
      <c r="N555" s="11">
        <f>IF(OR(J555="",H555="",I555=""),"",J555/((I555-H555)*1440))</f>
        <v/>
      </c>
      <c r="O555" s="7" t="n"/>
      <c r="P555" s="7" t="n"/>
      <c r="Q555" s="7" t="n"/>
      <c r="R555" s="12" t="n"/>
      <c r="S555" s="13">
        <f>IF(OR(R555="",J555=""),"",R555/J555-1)</f>
        <v/>
      </c>
      <c r="T555" s="14">
        <f>IF(OR(L555="",R555="",J555=""),"",SQRT(4+(L555^2-4)*(R555/J555)^2))</f>
        <v/>
      </c>
      <c r="U555" s="7" t="n"/>
      <c r="V555" s="7" t="n"/>
    </row>
    <row r="556">
      <c r="A556" s="7" t="inlineStr">
        <is>
          <t>P-1-5-i3</t>
        </is>
      </c>
      <c r="B556" s="7" t="inlineStr">
        <is>
          <t>1</t>
        </is>
      </c>
      <c r="C556" s="7" t="inlineStr">
        <is>
          <t>P</t>
        </is>
      </c>
      <c r="D556" s="7" t="inlineStr">
        <is>
          <t>PVC-40</t>
        </is>
      </c>
      <c r="E556" s="7" t="n">
        <v>5</v>
      </c>
      <c r="F556" s="7" t="n">
        <v>3</v>
      </c>
      <c r="G556" s="8" t="n"/>
      <c r="H556" s="27" t="n"/>
      <c r="I556" s="27" t="n"/>
      <c r="J556" s="8" t="n"/>
      <c r="K556" s="8" t="n"/>
      <c r="L556" s="10" t="n"/>
      <c r="M556" s="8" t="n"/>
      <c r="N556" s="11">
        <f>IF(OR(J556="",H556="",I556=""),"",J556/((I556-H556)*1440))</f>
        <v/>
      </c>
      <c r="O556" s="7" t="n"/>
      <c r="P556" s="7" t="n"/>
      <c r="Q556" s="7" t="n"/>
      <c r="R556" s="12" t="n"/>
      <c r="S556" s="13">
        <f>IF(OR(R556="",J556=""),"",R556/J556-1)</f>
        <v/>
      </c>
      <c r="T556" s="14">
        <f>IF(OR(L556="",R556="",J556=""),"",SQRT(4+(L556^2-4)*(R556/J556)^2))</f>
        <v/>
      </c>
      <c r="U556" s="7" t="n"/>
      <c r="V556" s="7" t="n"/>
    </row>
    <row r="557">
      <c r="A557" s="7" t="inlineStr">
        <is>
          <t>P-1-10-i1</t>
        </is>
      </c>
      <c r="B557" s="7" t="inlineStr">
        <is>
          <t>1</t>
        </is>
      </c>
      <c r="C557" s="7" t="inlineStr">
        <is>
          <t>P</t>
        </is>
      </c>
      <c r="D557" s="7" t="inlineStr">
        <is>
          <t>PVC-40</t>
        </is>
      </c>
      <c r="E557" s="7" t="n">
        <v>10</v>
      </c>
      <c r="F557" s="7" t="n">
        <v>1</v>
      </c>
      <c r="G557" s="8" t="n"/>
      <c r="H557" s="27" t="n"/>
      <c r="I557" s="27" t="n"/>
      <c r="J557" s="8" t="n"/>
      <c r="K557" s="8" t="n"/>
      <c r="L557" s="10" t="n"/>
      <c r="M557" s="8" t="n"/>
      <c r="N557" s="11">
        <f>IF(OR(J557="",H557="",I557=""),"",J557/((I557-H557)*1440))</f>
        <v/>
      </c>
      <c r="O557" s="7" t="n"/>
      <c r="P557" s="7" t="n"/>
      <c r="Q557" s="7" t="n"/>
      <c r="R557" s="12" t="n"/>
      <c r="S557" s="13">
        <f>IF(OR(R557="",J557=""),"",R557/J557-1)</f>
        <v/>
      </c>
      <c r="T557" s="14">
        <f>IF(OR(L557="",R557="",J557=""),"",SQRT(4+(L557^2-4)*(R557/J557)^2))</f>
        <v/>
      </c>
      <c r="U557" s="7" t="n"/>
      <c r="V557" s="7" t="n"/>
    </row>
    <row r="558">
      <c r="A558" s="7" t="inlineStr">
        <is>
          <t>P-1-10-i2</t>
        </is>
      </c>
      <c r="B558" s="7" t="inlineStr">
        <is>
          <t>1</t>
        </is>
      </c>
      <c r="C558" s="7" t="inlineStr">
        <is>
          <t>P</t>
        </is>
      </c>
      <c r="D558" s="7" t="inlineStr">
        <is>
          <t>PVC-40</t>
        </is>
      </c>
      <c r="E558" s="7" t="n">
        <v>10</v>
      </c>
      <c r="F558" s="7" t="n">
        <v>2</v>
      </c>
      <c r="G558" s="8" t="n"/>
      <c r="H558" s="27" t="n"/>
      <c r="I558" s="27" t="n"/>
      <c r="J558" s="8" t="n"/>
      <c r="K558" s="8" t="n"/>
      <c r="L558" s="10" t="n"/>
      <c r="M558" s="8" t="n"/>
      <c r="N558" s="11">
        <f>IF(OR(J558="",H558="",I558=""),"",J558/((I558-H558)*1440))</f>
        <v/>
      </c>
      <c r="O558" s="7" t="n"/>
      <c r="P558" s="7" t="n"/>
      <c r="Q558" s="7" t="n"/>
      <c r="R558" s="12" t="n"/>
      <c r="S558" s="13">
        <f>IF(OR(R558="",J558=""),"",R558/J558-1)</f>
        <v/>
      </c>
      <c r="T558" s="14">
        <f>IF(OR(L558="",R558="",J558=""),"",SQRT(4+(L558^2-4)*(R558/J558)^2))</f>
        <v/>
      </c>
      <c r="U558" s="7" t="n"/>
      <c r="V558" s="7" t="n"/>
    </row>
    <row r="559">
      <c r="A559" s="7" t="inlineStr">
        <is>
          <t>P-1-10-i3</t>
        </is>
      </c>
      <c r="B559" s="7" t="inlineStr">
        <is>
          <t>1</t>
        </is>
      </c>
      <c r="C559" s="7" t="inlineStr">
        <is>
          <t>P</t>
        </is>
      </c>
      <c r="D559" s="7" t="inlineStr">
        <is>
          <t>PVC-40</t>
        </is>
      </c>
      <c r="E559" s="7" t="n">
        <v>10</v>
      </c>
      <c r="F559" s="7" t="n">
        <v>3</v>
      </c>
      <c r="G559" s="8" t="n"/>
      <c r="H559" s="27" t="n"/>
      <c r="I559" s="27" t="n"/>
      <c r="J559" s="8" t="n"/>
      <c r="K559" s="8" t="n"/>
      <c r="L559" s="10" t="n"/>
      <c r="M559" s="8" t="n"/>
      <c r="N559" s="11">
        <f>IF(OR(J559="",H559="",I559=""),"",J559/((I559-H559)*1440))</f>
        <v/>
      </c>
      <c r="O559" s="7" t="n"/>
      <c r="P559" s="7" t="n"/>
      <c r="Q559" s="7" t="n"/>
      <c r="R559" s="12" t="n"/>
      <c r="S559" s="13">
        <f>IF(OR(R559="",J559=""),"",R559/J559-1)</f>
        <v/>
      </c>
      <c r="T559" s="14">
        <f>IF(OR(L559="",R559="",J559=""),"",SQRT(4+(L559^2-4)*(R559/J559)^2))</f>
        <v/>
      </c>
      <c r="U559" s="7" t="n"/>
      <c r="V559" s="7" t="n"/>
    </row>
    <row r="560">
      <c r="A560" s="7" t="inlineStr">
        <is>
          <t>X-1-0.5-i1</t>
        </is>
      </c>
      <c r="B560" s="7" t="inlineStr">
        <is>
          <t>1</t>
        </is>
      </c>
      <c r="C560" s="7" t="inlineStr">
        <is>
          <t>X</t>
        </is>
      </c>
      <c r="D560" s="7" t="inlineStr">
        <is>
          <t>PEX-A</t>
        </is>
      </c>
      <c r="E560" s="7" t="n">
        <v>0.5</v>
      </c>
      <c r="F560" s="7" t="n">
        <v>1</v>
      </c>
      <c r="G560" s="8" t="n"/>
      <c r="H560" s="27" t="n"/>
      <c r="I560" s="27" t="n"/>
      <c r="J560" s="8" t="n"/>
      <c r="K560" s="8" t="n"/>
      <c r="L560" s="10" t="n"/>
      <c r="M560" s="8" t="n"/>
      <c r="N560" s="11">
        <f>IF(OR(J560="",H560="",I560=""),"",J560/((I560-H560)*1440))</f>
        <v/>
      </c>
      <c r="O560" s="7" t="n"/>
      <c r="P560" s="7" t="n"/>
      <c r="Q560" s="7" t="n"/>
      <c r="R560" s="12" t="n"/>
      <c r="S560" s="13">
        <f>IF(OR(R560="",J560=""),"",R560/J560-1)</f>
        <v/>
      </c>
      <c r="T560" s="14">
        <f>IF(OR(L560="",R560="",J560=""),"",SQRT(4+(L560^2-4)*(R560/J560)^2))</f>
        <v/>
      </c>
      <c r="U560" s="7" t="n"/>
      <c r="V560" s="7" t="n"/>
    </row>
    <row r="561">
      <c r="A561" s="7" t="inlineStr">
        <is>
          <t>X-1-0.5-i2</t>
        </is>
      </c>
      <c r="B561" s="7" t="inlineStr">
        <is>
          <t>1</t>
        </is>
      </c>
      <c r="C561" s="7" t="inlineStr">
        <is>
          <t>X</t>
        </is>
      </c>
      <c r="D561" s="7" t="inlineStr">
        <is>
          <t>PEX-A</t>
        </is>
      </c>
      <c r="E561" s="7" t="n">
        <v>0.5</v>
      </c>
      <c r="F561" s="7" t="n">
        <v>2</v>
      </c>
      <c r="G561" s="8" t="n"/>
      <c r="H561" s="27" t="n"/>
      <c r="I561" s="27" t="n"/>
      <c r="J561" s="8" t="n"/>
      <c r="K561" s="8" t="n"/>
      <c r="L561" s="10" t="n"/>
      <c r="M561" s="8" t="n"/>
      <c r="N561" s="11">
        <f>IF(OR(J561="",H561="",I561=""),"",J561/((I561-H561)*1440))</f>
        <v/>
      </c>
      <c r="O561" s="7" t="n"/>
      <c r="P561" s="7" t="n"/>
      <c r="Q561" s="7" t="n"/>
      <c r="R561" s="12" t="n"/>
      <c r="S561" s="13">
        <f>IF(OR(R561="",J561=""),"",R561/J561-1)</f>
        <v/>
      </c>
      <c r="T561" s="14">
        <f>IF(OR(L561="",R561="",J561=""),"",SQRT(4+(L561^2-4)*(R561/J561)^2))</f>
        <v/>
      </c>
      <c r="U561" s="7" t="n"/>
      <c r="V561" s="7" t="n"/>
    </row>
    <row r="562">
      <c r="A562" s="7" t="inlineStr">
        <is>
          <t>X-1-0.5-i3</t>
        </is>
      </c>
      <c r="B562" s="7" t="inlineStr">
        <is>
          <t>1</t>
        </is>
      </c>
      <c r="C562" s="7" t="inlineStr">
        <is>
          <t>X</t>
        </is>
      </c>
      <c r="D562" s="7" t="inlineStr">
        <is>
          <t>PEX-A</t>
        </is>
      </c>
      <c r="E562" s="7" t="n">
        <v>0.5</v>
      </c>
      <c r="F562" s="7" t="n">
        <v>3</v>
      </c>
      <c r="G562" s="8" t="n"/>
      <c r="H562" s="27" t="n"/>
      <c r="I562" s="27" t="n"/>
      <c r="J562" s="8" t="n"/>
      <c r="K562" s="8" t="n"/>
      <c r="L562" s="10" t="n"/>
      <c r="M562" s="8" t="n"/>
      <c r="N562" s="11">
        <f>IF(OR(J562="",H562="",I562=""),"",J562/((I562-H562)*1440))</f>
        <v/>
      </c>
      <c r="O562" s="7" t="n"/>
      <c r="P562" s="7" t="n"/>
      <c r="Q562" s="7" t="n"/>
      <c r="R562" s="12" t="n"/>
      <c r="S562" s="13">
        <f>IF(OR(R562="",J562=""),"",R562/J562-1)</f>
        <v/>
      </c>
      <c r="T562" s="14">
        <f>IF(OR(L562="",R562="",J562=""),"",SQRT(4+(L562^2-4)*(R562/J562)^2))</f>
        <v/>
      </c>
      <c r="U562" s="7" t="n"/>
      <c r="V562" s="7" t="n"/>
    </row>
    <row r="563">
      <c r="A563" s="7" t="inlineStr">
        <is>
          <t>X-1-1-i1</t>
        </is>
      </c>
      <c r="B563" s="7" t="inlineStr">
        <is>
          <t>1</t>
        </is>
      </c>
      <c r="C563" s="7" t="inlineStr">
        <is>
          <t>X</t>
        </is>
      </c>
      <c r="D563" s="7" t="inlineStr">
        <is>
          <t>PEX-A</t>
        </is>
      </c>
      <c r="E563" s="7" t="n">
        <v>1</v>
      </c>
      <c r="F563" s="7" t="n">
        <v>1</v>
      </c>
      <c r="G563" s="8" t="n"/>
      <c r="H563" s="27" t="n"/>
      <c r="I563" s="27" t="n"/>
      <c r="J563" s="8" t="n"/>
      <c r="K563" s="8" t="n"/>
      <c r="L563" s="10" t="n"/>
      <c r="M563" s="8" t="n"/>
      <c r="N563" s="11">
        <f>IF(OR(J563="",H563="",I563=""),"",J563/((I563-H563)*1440))</f>
        <v/>
      </c>
      <c r="O563" s="7" t="n"/>
      <c r="P563" s="7" t="n"/>
      <c r="Q563" s="7" t="n"/>
      <c r="R563" s="12" t="n"/>
      <c r="S563" s="13">
        <f>IF(OR(R563="",J563=""),"",R563/J563-1)</f>
        <v/>
      </c>
      <c r="T563" s="14">
        <f>IF(OR(L563="",R563="",J563=""),"",SQRT(4+(L563^2-4)*(R563/J563)^2))</f>
        <v/>
      </c>
      <c r="U563" s="7" t="n"/>
      <c r="V563" s="7" t="n"/>
    </row>
    <row r="564">
      <c r="A564" s="7" t="inlineStr">
        <is>
          <t>X-1-1-i2</t>
        </is>
      </c>
      <c r="B564" s="7" t="inlineStr">
        <is>
          <t>1</t>
        </is>
      </c>
      <c r="C564" s="7" t="inlineStr">
        <is>
          <t>X</t>
        </is>
      </c>
      <c r="D564" s="7" t="inlineStr">
        <is>
          <t>PEX-A</t>
        </is>
      </c>
      <c r="E564" s="7" t="n">
        <v>1</v>
      </c>
      <c r="F564" s="7" t="n">
        <v>2</v>
      </c>
      <c r="G564" s="8" t="n"/>
      <c r="H564" s="27" t="n"/>
      <c r="I564" s="27" t="n"/>
      <c r="J564" s="8" t="n"/>
      <c r="K564" s="8" t="n"/>
      <c r="L564" s="10" t="n"/>
      <c r="M564" s="8" t="n"/>
      <c r="N564" s="11">
        <f>IF(OR(J564="",H564="",I564=""),"",J564/((I564-H564)*1440))</f>
        <v/>
      </c>
      <c r="O564" s="7" t="n"/>
      <c r="P564" s="7" t="n"/>
      <c r="Q564" s="7" t="n"/>
      <c r="R564" s="12" t="n"/>
      <c r="S564" s="13">
        <f>IF(OR(R564="",J564=""),"",R564/J564-1)</f>
        <v/>
      </c>
      <c r="T564" s="14">
        <f>IF(OR(L564="",R564="",J564=""),"",SQRT(4+(L564^2-4)*(R564/J564)^2))</f>
        <v/>
      </c>
      <c r="U564" s="7" t="n"/>
      <c r="V564" s="7" t="n"/>
    </row>
    <row r="565">
      <c r="A565" s="7" t="inlineStr">
        <is>
          <t>X-1-1-i3</t>
        </is>
      </c>
      <c r="B565" s="7" t="inlineStr">
        <is>
          <t>1</t>
        </is>
      </c>
      <c r="C565" s="7" t="inlineStr">
        <is>
          <t>X</t>
        </is>
      </c>
      <c r="D565" s="7" t="inlineStr">
        <is>
          <t>PEX-A</t>
        </is>
      </c>
      <c r="E565" s="7" t="n">
        <v>1</v>
      </c>
      <c r="F565" s="7" t="n">
        <v>3</v>
      </c>
      <c r="G565" s="8" t="n"/>
      <c r="H565" s="27" t="n"/>
      <c r="I565" s="27" t="n"/>
      <c r="J565" s="8" t="n"/>
      <c r="K565" s="8" t="n"/>
      <c r="L565" s="10" t="n"/>
      <c r="M565" s="8" t="n"/>
      <c r="N565" s="11">
        <f>IF(OR(J565="",H565="",I565=""),"",J565/((I565-H565)*1440))</f>
        <v/>
      </c>
      <c r="O565" s="7" t="n"/>
      <c r="P565" s="7" t="n"/>
      <c r="Q565" s="7" t="n"/>
      <c r="R565" s="12" t="n"/>
      <c r="S565" s="13">
        <f>IF(OR(R565="",J565=""),"",R565/J565-1)</f>
        <v/>
      </c>
      <c r="T565" s="14">
        <f>IF(OR(L565="",R565="",J565=""),"",SQRT(4+(L565^2-4)*(R565/J565)^2))</f>
        <v/>
      </c>
      <c r="U565" s="7" t="n"/>
      <c r="V565" s="7" t="n"/>
    </row>
    <row r="566">
      <c r="A566" s="7" t="inlineStr">
        <is>
          <t>X-1-3-i1</t>
        </is>
      </c>
      <c r="B566" s="7" t="inlineStr">
        <is>
          <t>1</t>
        </is>
      </c>
      <c r="C566" s="7" t="inlineStr">
        <is>
          <t>X</t>
        </is>
      </c>
      <c r="D566" s="7" t="inlineStr">
        <is>
          <t>PEX-A</t>
        </is>
      </c>
      <c r="E566" s="7" t="n">
        <v>3</v>
      </c>
      <c r="F566" s="7" t="n">
        <v>1</v>
      </c>
      <c r="G566" s="8" t="n"/>
      <c r="H566" s="27" t="n"/>
      <c r="I566" s="27" t="n"/>
      <c r="J566" s="8" t="n"/>
      <c r="K566" s="8" t="n"/>
      <c r="L566" s="10" t="n"/>
      <c r="M566" s="8" t="n"/>
      <c r="N566" s="11">
        <f>IF(OR(J566="",H566="",I566=""),"",J566/((I566-H566)*1440))</f>
        <v/>
      </c>
      <c r="O566" s="7" t="n"/>
      <c r="P566" s="7" t="n"/>
      <c r="Q566" s="7" t="n"/>
      <c r="R566" s="12" t="n"/>
      <c r="S566" s="13">
        <f>IF(OR(R566="",J566=""),"",R566/J566-1)</f>
        <v/>
      </c>
      <c r="T566" s="14">
        <f>IF(OR(L566="",R566="",J566=""),"",SQRT(4+(L566^2-4)*(R566/J566)^2))</f>
        <v/>
      </c>
      <c r="U566" s="7" t="n"/>
      <c r="V566" s="7" t="n"/>
    </row>
    <row r="567">
      <c r="A567" s="7" t="inlineStr">
        <is>
          <t>X-1-3-i2</t>
        </is>
      </c>
      <c r="B567" s="7" t="inlineStr">
        <is>
          <t>1</t>
        </is>
      </c>
      <c r="C567" s="7" t="inlineStr">
        <is>
          <t>X</t>
        </is>
      </c>
      <c r="D567" s="7" t="inlineStr">
        <is>
          <t>PEX-A</t>
        </is>
      </c>
      <c r="E567" s="7" t="n">
        <v>3</v>
      </c>
      <c r="F567" s="7" t="n">
        <v>2</v>
      </c>
      <c r="G567" s="8" t="n"/>
      <c r="H567" s="27" t="n"/>
      <c r="I567" s="27" t="n"/>
      <c r="J567" s="8" t="n"/>
      <c r="K567" s="8" t="n"/>
      <c r="L567" s="10" t="n"/>
      <c r="M567" s="8" t="n"/>
      <c r="N567" s="11">
        <f>IF(OR(J567="",H567="",I567=""),"",J567/((I567-H567)*1440))</f>
        <v/>
      </c>
      <c r="O567" s="7" t="n"/>
      <c r="P567" s="7" t="n"/>
      <c r="Q567" s="7" t="n"/>
      <c r="R567" s="12" t="n"/>
      <c r="S567" s="13">
        <f>IF(OR(R567="",J567=""),"",R567/J567-1)</f>
        <v/>
      </c>
      <c r="T567" s="14">
        <f>IF(OR(L567="",R567="",J567=""),"",SQRT(4+(L567^2-4)*(R567/J567)^2))</f>
        <v/>
      </c>
      <c r="U567" s="7" t="n"/>
      <c r="V567" s="7" t="n"/>
    </row>
    <row r="568">
      <c r="A568" s="7" t="inlineStr">
        <is>
          <t>X-1-3-i3</t>
        </is>
      </c>
      <c r="B568" s="7" t="inlineStr">
        <is>
          <t>1</t>
        </is>
      </c>
      <c r="C568" s="7" t="inlineStr">
        <is>
          <t>X</t>
        </is>
      </c>
      <c r="D568" s="7" t="inlineStr">
        <is>
          <t>PEX-A</t>
        </is>
      </c>
      <c r="E568" s="7" t="n">
        <v>3</v>
      </c>
      <c r="F568" s="7" t="n">
        <v>3</v>
      </c>
      <c r="G568" s="8" t="n"/>
      <c r="H568" s="27" t="n"/>
      <c r="I568" s="27" t="n"/>
      <c r="J568" s="8" t="n"/>
      <c r="K568" s="8" t="n"/>
      <c r="L568" s="10" t="n"/>
      <c r="M568" s="8" t="n"/>
      <c r="N568" s="11">
        <f>IF(OR(J568="",H568="",I568=""),"",J568/((I568-H568)*1440))</f>
        <v/>
      </c>
      <c r="O568" s="7" t="n"/>
      <c r="P568" s="7" t="n"/>
      <c r="Q568" s="7" t="n"/>
      <c r="R568" s="12" t="n"/>
      <c r="S568" s="13">
        <f>IF(OR(R568="",J568=""),"",R568/J568-1)</f>
        <v/>
      </c>
      <c r="T568" s="14">
        <f>IF(OR(L568="",R568="",J568=""),"",SQRT(4+(L568^2-4)*(R568/J568)^2))</f>
        <v/>
      </c>
      <c r="U568" s="7" t="n"/>
      <c r="V568" s="7" t="n"/>
    </row>
    <row r="569">
      <c r="A569" s="7" t="inlineStr">
        <is>
          <t>X-1-5-i1</t>
        </is>
      </c>
      <c r="B569" s="7" t="inlineStr">
        <is>
          <t>1</t>
        </is>
      </c>
      <c r="C569" s="7" t="inlineStr">
        <is>
          <t>X</t>
        </is>
      </c>
      <c r="D569" s="7" t="inlineStr">
        <is>
          <t>PEX-A</t>
        </is>
      </c>
      <c r="E569" s="7" t="n">
        <v>5</v>
      </c>
      <c r="F569" s="7" t="n">
        <v>1</v>
      </c>
      <c r="G569" s="8" t="n"/>
      <c r="H569" s="27" t="n"/>
      <c r="I569" s="27" t="n"/>
      <c r="J569" s="8" t="n"/>
      <c r="K569" s="8" t="n"/>
      <c r="L569" s="10" t="n"/>
      <c r="M569" s="8" t="n"/>
      <c r="N569" s="11">
        <f>IF(OR(J569="",H569="",I569=""),"",J569/((I569-H569)*1440))</f>
        <v/>
      </c>
      <c r="O569" s="7" t="n"/>
      <c r="P569" s="7" t="n"/>
      <c r="Q569" s="7" t="n"/>
      <c r="R569" s="12" t="n"/>
      <c r="S569" s="13">
        <f>IF(OR(R569="",J569=""),"",R569/J569-1)</f>
        <v/>
      </c>
      <c r="T569" s="14">
        <f>IF(OR(L569="",R569="",J569=""),"",SQRT(4+(L569^2-4)*(R569/J569)^2))</f>
        <v/>
      </c>
      <c r="U569" s="7" t="n"/>
      <c r="V569" s="7" t="n"/>
    </row>
    <row r="570">
      <c r="A570" s="7" t="inlineStr">
        <is>
          <t>X-1-5-i2</t>
        </is>
      </c>
      <c r="B570" s="7" t="inlineStr">
        <is>
          <t>1</t>
        </is>
      </c>
      <c r="C570" s="7" t="inlineStr">
        <is>
          <t>X</t>
        </is>
      </c>
      <c r="D570" s="7" t="inlineStr">
        <is>
          <t>PEX-A</t>
        </is>
      </c>
      <c r="E570" s="7" t="n">
        <v>5</v>
      </c>
      <c r="F570" s="7" t="n">
        <v>2</v>
      </c>
      <c r="G570" s="8" t="n"/>
      <c r="H570" s="27" t="n"/>
      <c r="I570" s="27" t="n"/>
      <c r="J570" s="8" t="n"/>
      <c r="K570" s="8" t="n"/>
      <c r="L570" s="10" t="n"/>
      <c r="M570" s="8" t="n"/>
      <c r="N570" s="11">
        <f>IF(OR(J570="",H570="",I570=""),"",J570/((I570-H570)*1440))</f>
        <v/>
      </c>
      <c r="O570" s="7" t="n"/>
      <c r="P570" s="7" t="n"/>
      <c r="Q570" s="7" t="n"/>
      <c r="R570" s="12" t="n"/>
      <c r="S570" s="13">
        <f>IF(OR(R570="",J570=""),"",R570/J570-1)</f>
        <v/>
      </c>
      <c r="T570" s="14">
        <f>IF(OR(L570="",R570="",J570=""),"",SQRT(4+(L570^2-4)*(R570/J570)^2))</f>
        <v/>
      </c>
      <c r="U570" s="7" t="n"/>
      <c r="V570" s="7" t="n"/>
    </row>
    <row r="571">
      <c r="A571" s="7" t="inlineStr">
        <is>
          <t>X-1-5-i3</t>
        </is>
      </c>
      <c r="B571" s="7" t="inlineStr">
        <is>
          <t>1</t>
        </is>
      </c>
      <c r="C571" s="7" t="inlineStr">
        <is>
          <t>X</t>
        </is>
      </c>
      <c r="D571" s="7" t="inlineStr">
        <is>
          <t>PEX-A</t>
        </is>
      </c>
      <c r="E571" s="7" t="n">
        <v>5</v>
      </c>
      <c r="F571" s="7" t="n">
        <v>3</v>
      </c>
      <c r="G571" s="8" t="n"/>
      <c r="H571" s="27" t="n"/>
      <c r="I571" s="27" t="n"/>
      <c r="J571" s="8" t="n"/>
      <c r="K571" s="8" t="n"/>
      <c r="L571" s="10" t="n"/>
      <c r="M571" s="8" t="n"/>
      <c r="N571" s="11">
        <f>IF(OR(J571="",H571="",I571=""),"",J571/((I571-H571)*1440))</f>
        <v/>
      </c>
      <c r="O571" s="7" t="n"/>
      <c r="P571" s="7" t="n"/>
      <c r="Q571" s="7" t="n"/>
      <c r="R571" s="12" t="n"/>
      <c r="S571" s="13">
        <f>IF(OR(R571="",J571=""),"",R571/J571-1)</f>
        <v/>
      </c>
      <c r="T571" s="14">
        <f>IF(OR(L571="",R571="",J571=""),"",SQRT(4+(L571^2-4)*(R571/J571)^2))</f>
        <v/>
      </c>
      <c r="U571" s="7" t="n"/>
      <c r="V571" s="7" t="n"/>
    </row>
    <row r="572">
      <c r="A572" s="7" t="inlineStr">
        <is>
          <t>X-1-10-i1</t>
        </is>
      </c>
      <c r="B572" s="7" t="inlineStr">
        <is>
          <t>1</t>
        </is>
      </c>
      <c r="C572" s="7" t="inlineStr">
        <is>
          <t>X</t>
        </is>
      </c>
      <c r="D572" s="7" t="inlineStr">
        <is>
          <t>PEX-A</t>
        </is>
      </c>
      <c r="E572" s="7" t="n">
        <v>10</v>
      </c>
      <c r="F572" s="7" t="n">
        <v>1</v>
      </c>
      <c r="G572" s="8" t="n"/>
      <c r="H572" s="27" t="n"/>
      <c r="I572" s="27" t="n"/>
      <c r="J572" s="8" t="n"/>
      <c r="K572" s="8" t="n"/>
      <c r="L572" s="10" t="n"/>
      <c r="M572" s="8" t="n"/>
      <c r="N572" s="11">
        <f>IF(OR(J572="",H572="",I572=""),"",J572/((I572-H572)*1440))</f>
        <v/>
      </c>
      <c r="O572" s="7" t="n"/>
      <c r="P572" s="7" t="n"/>
      <c r="Q572" s="7" t="n"/>
      <c r="R572" s="12" t="n"/>
      <c r="S572" s="13">
        <f>IF(OR(R572="",J572=""),"",R572/J572-1)</f>
        <v/>
      </c>
      <c r="T572" s="14">
        <f>IF(OR(L572="",R572="",J572=""),"",SQRT(4+(L572^2-4)*(R572/J572)^2))</f>
        <v/>
      </c>
      <c r="U572" s="7" t="n"/>
      <c r="V572" s="7" t="n"/>
    </row>
    <row r="573">
      <c r="A573" s="7" t="inlineStr">
        <is>
          <t>X-1-10-i2</t>
        </is>
      </c>
      <c r="B573" s="7" t="inlineStr">
        <is>
          <t>1</t>
        </is>
      </c>
      <c r="C573" s="7" t="inlineStr">
        <is>
          <t>X</t>
        </is>
      </c>
      <c r="D573" s="7" t="inlineStr">
        <is>
          <t>PEX-A</t>
        </is>
      </c>
      <c r="E573" s="7" t="n">
        <v>10</v>
      </c>
      <c r="F573" s="7" t="n">
        <v>2</v>
      </c>
      <c r="G573" s="8" t="n"/>
      <c r="H573" s="27" t="n"/>
      <c r="I573" s="27" t="n"/>
      <c r="J573" s="8" t="n"/>
      <c r="K573" s="8" t="n"/>
      <c r="L573" s="10" t="n"/>
      <c r="M573" s="8" t="n"/>
      <c r="N573" s="11">
        <f>IF(OR(J573="",H573="",I573=""),"",J573/((I573-H573)*1440))</f>
        <v/>
      </c>
      <c r="O573" s="7" t="n"/>
      <c r="P573" s="7" t="n"/>
      <c r="Q573" s="7" t="n"/>
      <c r="R573" s="12" t="n"/>
      <c r="S573" s="13">
        <f>IF(OR(R573="",J573=""),"",R573/J573-1)</f>
        <v/>
      </c>
      <c r="T573" s="14">
        <f>IF(OR(L573="",R573="",J573=""),"",SQRT(4+(L573^2-4)*(R573/J573)^2))</f>
        <v/>
      </c>
      <c r="U573" s="7" t="n"/>
      <c r="V573" s="7" t="n"/>
    </row>
    <row r="574">
      <c r="A574" s="7" t="inlineStr">
        <is>
          <t>X-1-10-i3</t>
        </is>
      </c>
      <c r="B574" s="7" t="inlineStr">
        <is>
          <t>1</t>
        </is>
      </c>
      <c r="C574" s="7" t="inlineStr">
        <is>
          <t>X</t>
        </is>
      </c>
      <c r="D574" s="7" t="inlineStr">
        <is>
          <t>PEX-A</t>
        </is>
      </c>
      <c r="E574" s="7" t="n">
        <v>10</v>
      </c>
      <c r="F574" s="7" t="n">
        <v>3</v>
      </c>
      <c r="G574" s="8" t="n"/>
      <c r="H574" s="27" t="n"/>
      <c r="I574" s="27" t="n"/>
      <c r="J574" s="8" t="n"/>
      <c r="K574" s="8" t="n"/>
      <c r="L574" s="10" t="n"/>
      <c r="M574" s="8" t="n"/>
      <c r="N574" s="11">
        <f>IF(OR(J574="",H574="",I574=""),"",J574/((I574-H574)*1440))</f>
        <v/>
      </c>
      <c r="O574" s="7" t="n"/>
      <c r="P574" s="7" t="n"/>
      <c r="Q574" s="7" t="n"/>
      <c r="R574" s="12" t="n"/>
      <c r="S574" s="13">
        <f>IF(OR(R574="",J574=""),"",R574/J574-1)</f>
        <v/>
      </c>
      <c r="T574" s="14">
        <f>IF(OR(L574="",R574="",J574=""),"",SQRT(4+(L574^2-4)*(R574/J574)^2))</f>
        <v/>
      </c>
      <c r="U574" s="7" t="n"/>
      <c r="V574" s="7" t="n"/>
    </row>
    <row r="575">
      <c r="A575" s="7" t="inlineStr">
        <is>
          <t>p-1-0.5-i1</t>
        </is>
      </c>
      <c r="B575" s="7" t="inlineStr">
        <is>
          <t>1</t>
        </is>
      </c>
      <c r="C575" s="7" t="inlineStr">
        <is>
          <t>p</t>
        </is>
      </c>
      <c r="D575" s="7" t="inlineStr">
        <is>
          <t>PVC-80</t>
        </is>
      </c>
      <c r="E575" s="7" t="n">
        <v>0.5</v>
      </c>
      <c r="F575" s="7" t="n">
        <v>1</v>
      </c>
      <c r="G575" s="8" t="n"/>
      <c r="H575" s="27" t="n"/>
      <c r="I575" s="27" t="n"/>
      <c r="J575" s="8" t="n"/>
      <c r="K575" s="8" t="n"/>
      <c r="L575" s="10" t="n"/>
      <c r="M575" s="8" t="n"/>
      <c r="N575" s="11">
        <f>IF(OR(J575="",H575="",I575=""),"",J575/((I575-H575)*1440))</f>
        <v/>
      </c>
      <c r="O575" s="7" t="n"/>
      <c r="P575" s="7" t="n"/>
      <c r="Q575" s="7" t="n"/>
      <c r="R575" s="12" t="n"/>
      <c r="S575" s="13">
        <f>IF(OR(R575="",J575=""),"",R575/J575-1)</f>
        <v/>
      </c>
      <c r="T575" s="14">
        <f>IF(OR(L575="",R575="",J575=""),"",SQRT(4+(L575^2-4)*(R575/J575)^2))</f>
        <v/>
      </c>
      <c r="U575" s="7" t="n"/>
      <c r="V575" s="7" t="n"/>
    </row>
    <row r="576">
      <c r="A576" s="7" t="inlineStr">
        <is>
          <t>p-1-0.5-i2</t>
        </is>
      </c>
      <c r="B576" s="7" t="inlineStr">
        <is>
          <t>1</t>
        </is>
      </c>
      <c r="C576" s="7" t="inlineStr">
        <is>
          <t>p</t>
        </is>
      </c>
      <c r="D576" s="7" t="inlineStr">
        <is>
          <t>PVC-80</t>
        </is>
      </c>
      <c r="E576" s="7" t="n">
        <v>0.5</v>
      </c>
      <c r="F576" s="7" t="n">
        <v>2</v>
      </c>
      <c r="G576" s="8" t="n"/>
      <c r="H576" s="27" t="n"/>
      <c r="I576" s="27" t="n"/>
      <c r="J576" s="8" t="n"/>
      <c r="K576" s="8" t="n"/>
      <c r="L576" s="10" t="n"/>
      <c r="M576" s="8" t="n"/>
      <c r="N576" s="11">
        <f>IF(OR(J576="",H576="",I576=""),"",J576/((I576-H576)*1440))</f>
        <v/>
      </c>
      <c r="O576" s="7" t="n"/>
      <c r="P576" s="7" t="n"/>
      <c r="Q576" s="7" t="n"/>
      <c r="R576" s="12" t="n"/>
      <c r="S576" s="13">
        <f>IF(OR(R576="",J576=""),"",R576/J576-1)</f>
        <v/>
      </c>
      <c r="T576" s="14">
        <f>IF(OR(L576="",R576="",J576=""),"",SQRT(4+(L576^2-4)*(R576/J576)^2))</f>
        <v/>
      </c>
      <c r="U576" s="7" t="n"/>
      <c r="V576" s="7" t="n"/>
    </row>
    <row r="577">
      <c r="A577" s="7" t="inlineStr">
        <is>
          <t>p-1-0.5-i3</t>
        </is>
      </c>
      <c r="B577" s="7" t="inlineStr">
        <is>
          <t>1</t>
        </is>
      </c>
      <c r="C577" s="7" t="inlineStr">
        <is>
          <t>p</t>
        </is>
      </c>
      <c r="D577" s="7" t="inlineStr">
        <is>
          <t>PVC-80</t>
        </is>
      </c>
      <c r="E577" s="7" t="n">
        <v>0.5</v>
      </c>
      <c r="F577" s="7" t="n">
        <v>3</v>
      </c>
      <c r="G577" s="8" t="n"/>
      <c r="H577" s="27" t="n"/>
      <c r="I577" s="27" t="n"/>
      <c r="J577" s="8" t="n"/>
      <c r="K577" s="8" t="n"/>
      <c r="L577" s="10" t="n"/>
      <c r="M577" s="8" t="n"/>
      <c r="N577" s="11">
        <f>IF(OR(J577="",H577="",I577=""),"",J577/((I577-H577)*1440))</f>
        <v/>
      </c>
      <c r="O577" s="7" t="n"/>
      <c r="P577" s="7" t="n"/>
      <c r="Q577" s="7" t="n"/>
      <c r="R577" s="12" t="n"/>
      <c r="S577" s="13">
        <f>IF(OR(R577="",J577=""),"",R577/J577-1)</f>
        <v/>
      </c>
      <c r="T577" s="14">
        <f>IF(OR(L577="",R577="",J577=""),"",SQRT(4+(L577^2-4)*(R577/J577)^2))</f>
        <v/>
      </c>
      <c r="U577" s="7" t="n"/>
      <c r="V577" s="7" t="n"/>
    </row>
    <row r="578">
      <c r="A578" s="7" t="inlineStr">
        <is>
          <t>p-1-1-i1</t>
        </is>
      </c>
      <c r="B578" s="7" t="inlineStr">
        <is>
          <t>1</t>
        </is>
      </c>
      <c r="C578" s="7" t="inlineStr">
        <is>
          <t>p</t>
        </is>
      </c>
      <c r="D578" s="7" t="inlineStr">
        <is>
          <t>PVC-80</t>
        </is>
      </c>
      <c r="E578" s="7" t="n">
        <v>1</v>
      </c>
      <c r="F578" s="7" t="n">
        <v>1</v>
      </c>
      <c r="G578" s="8" t="n"/>
      <c r="H578" s="27" t="n"/>
      <c r="I578" s="27" t="n"/>
      <c r="J578" s="8" t="n"/>
      <c r="K578" s="8" t="n"/>
      <c r="L578" s="10" t="n"/>
      <c r="M578" s="8" t="n"/>
      <c r="N578" s="11">
        <f>IF(OR(J578="",H578="",I578=""),"",J578/((I578-H578)*1440))</f>
        <v/>
      </c>
      <c r="O578" s="7" t="n"/>
      <c r="P578" s="7" t="n"/>
      <c r="Q578" s="7" t="n"/>
      <c r="R578" s="12" t="n"/>
      <c r="S578" s="13">
        <f>IF(OR(R578="",J578=""),"",R578/J578-1)</f>
        <v/>
      </c>
      <c r="T578" s="14">
        <f>IF(OR(L578="",R578="",J578=""),"",SQRT(4+(L578^2-4)*(R578/J578)^2))</f>
        <v/>
      </c>
      <c r="U578" s="7" t="n"/>
      <c r="V578" s="7" t="n"/>
    </row>
    <row r="579">
      <c r="A579" s="7" t="inlineStr">
        <is>
          <t>p-1-1-i2</t>
        </is>
      </c>
      <c r="B579" s="7" t="inlineStr">
        <is>
          <t>1</t>
        </is>
      </c>
      <c r="C579" s="7" t="inlineStr">
        <is>
          <t>p</t>
        </is>
      </c>
      <c r="D579" s="7" t="inlineStr">
        <is>
          <t>PVC-80</t>
        </is>
      </c>
      <c r="E579" s="7" t="n">
        <v>1</v>
      </c>
      <c r="F579" s="7" t="n">
        <v>2</v>
      </c>
      <c r="G579" s="8" t="n"/>
      <c r="H579" s="27" t="n"/>
      <c r="I579" s="27" t="n"/>
      <c r="J579" s="8" t="n"/>
      <c r="K579" s="8" t="n"/>
      <c r="L579" s="10" t="n"/>
      <c r="M579" s="8" t="n"/>
      <c r="N579" s="11">
        <f>IF(OR(J579="",H579="",I579=""),"",J579/((I579-H579)*1440))</f>
        <v/>
      </c>
      <c r="O579" s="7" t="n"/>
      <c r="P579" s="7" t="n"/>
      <c r="Q579" s="7" t="n"/>
      <c r="R579" s="12" t="n"/>
      <c r="S579" s="13">
        <f>IF(OR(R579="",J579=""),"",R579/J579-1)</f>
        <v/>
      </c>
      <c r="T579" s="14">
        <f>IF(OR(L579="",R579="",J579=""),"",SQRT(4+(L579^2-4)*(R579/J579)^2))</f>
        <v/>
      </c>
      <c r="U579" s="7" t="n"/>
      <c r="V579" s="7" t="n"/>
    </row>
    <row r="580">
      <c r="A580" s="7" t="inlineStr">
        <is>
          <t>p-1-1-i3</t>
        </is>
      </c>
      <c r="B580" s="7" t="inlineStr">
        <is>
          <t>1</t>
        </is>
      </c>
      <c r="C580" s="7" t="inlineStr">
        <is>
          <t>p</t>
        </is>
      </c>
      <c r="D580" s="7" t="inlineStr">
        <is>
          <t>PVC-80</t>
        </is>
      </c>
      <c r="E580" s="7" t="n">
        <v>1</v>
      </c>
      <c r="F580" s="7" t="n">
        <v>3</v>
      </c>
      <c r="G580" s="8" t="n"/>
      <c r="H580" s="27" t="n"/>
      <c r="I580" s="27" t="n"/>
      <c r="J580" s="8" t="n"/>
      <c r="K580" s="8" t="n"/>
      <c r="L580" s="10" t="n"/>
      <c r="M580" s="8" t="n"/>
      <c r="N580" s="11">
        <f>IF(OR(J580="",H580="",I580=""),"",J580/((I580-H580)*1440))</f>
        <v/>
      </c>
      <c r="O580" s="7" t="n"/>
      <c r="P580" s="7" t="n"/>
      <c r="Q580" s="7" t="n"/>
      <c r="R580" s="12" t="n"/>
      <c r="S580" s="13">
        <f>IF(OR(R580="",J580=""),"",R580/J580-1)</f>
        <v/>
      </c>
      <c r="T580" s="14">
        <f>IF(OR(L580="",R580="",J580=""),"",SQRT(4+(L580^2-4)*(R580/J580)^2))</f>
        <v/>
      </c>
      <c r="U580" s="7" t="n"/>
      <c r="V580" s="7" t="n"/>
    </row>
    <row r="581">
      <c r="A581" s="7" t="inlineStr">
        <is>
          <t>p-1-3-i1</t>
        </is>
      </c>
      <c r="B581" s="7" t="inlineStr">
        <is>
          <t>1</t>
        </is>
      </c>
      <c r="C581" s="7" t="inlineStr">
        <is>
          <t>p</t>
        </is>
      </c>
      <c r="D581" s="7" t="inlineStr">
        <is>
          <t>PVC-80</t>
        </is>
      </c>
      <c r="E581" s="7" t="n">
        <v>3</v>
      </c>
      <c r="F581" s="7" t="n">
        <v>1</v>
      </c>
      <c r="G581" s="8" t="n"/>
      <c r="H581" s="27" t="n"/>
      <c r="I581" s="27" t="n"/>
      <c r="J581" s="8" t="n"/>
      <c r="K581" s="8" t="n"/>
      <c r="L581" s="10" t="n"/>
      <c r="M581" s="8" t="n"/>
      <c r="N581" s="11">
        <f>IF(OR(J581="",H581="",I581=""),"",J581/((I581-H581)*1440))</f>
        <v/>
      </c>
      <c r="O581" s="7" t="n"/>
      <c r="P581" s="7" t="n"/>
      <c r="Q581" s="7" t="n"/>
      <c r="R581" s="12" t="n"/>
      <c r="S581" s="13">
        <f>IF(OR(R581="",J581=""),"",R581/J581-1)</f>
        <v/>
      </c>
      <c r="T581" s="14">
        <f>IF(OR(L581="",R581="",J581=""),"",SQRT(4+(L581^2-4)*(R581/J581)^2))</f>
        <v/>
      </c>
      <c r="U581" s="7" t="n"/>
      <c r="V581" s="7" t="n"/>
    </row>
    <row r="582">
      <c r="A582" s="7" t="inlineStr">
        <is>
          <t>p-1-3-i2</t>
        </is>
      </c>
      <c r="B582" s="7" t="inlineStr">
        <is>
          <t>1</t>
        </is>
      </c>
      <c r="C582" s="7" t="inlineStr">
        <is>
          <t>p</t>
        </is>
      </c>
      <c r="D582" s="7" t="inlineStr">
        <is>
          <t>PVC-80</t>
        </is>
      </c>
      <c r="E582" s="7" t="n">
        <v>3</v>
      </c>
      <c r="F582" s="7" t="n">
        <v>2</v>
      </c>
      <c r="G582" s="8" t="n"/>
      <c r="H582" s="27" t="n"/>
      <c r="I582" s="27" t="n"/>
      <c r="J582" s="8" t="n"/>
      <c r="K582" s="8" t="n"/>
      <c r="L582" s="10" t="n"/>
      <c r="M582" s="8" t="n"/>
      <c r="N582" s="11">
        <f>IF(OR(J582="",H582="",I582=""),"",J582/((I582-H582)*1440))</f>
        <v/>
      </c>
      <c r="O582" s="7" t="n"/>
      <c r="P582" s="7" t="n"/>
      <c r="Q582" s="7" t="n"/>
      <c r="R582" s="12" t="n"/>
      <c r="S582" s="13">
        <f>IF(OR(R582="",J582=""),"",R582/J582-1)</f>
        <v/>
      </c>
      <c r="T582" s="14">
        <f>IF(OR(L582="",R582="",J582=""),"",SQRT(4+(L582^2-4)*(R582/J582)^2))</f>
        <v/>
      </c>
      <c r="U582" s="7" t="n"/>
      <c r="V582" s="7" t="n"/>
    </row>
    <row r="583">
      <c r="A583" s="7" t="inlineStr">
        <is>
          <t>p-1-3-i3</t>
        </is>
      </c>
      <c r="B583" s="7" t="inlineStr">
        <is>
          <t>1</t>
        </is>
      </c>
      <c r="C583" s="7" t="inlineStr">
        <is>
          <t>p</t>
        </is>
      </c>
      <c r="D583" s="7" t="inlineStr">
        <is>
          <t>PVC-80</t>
        </is>
      </c>
      <c r="E583" s="7" t="n">
        <v>3</v>
      </c>
      <c r="F583" s="7" t="n">
        <v>3</v>
      </c>
      <c r="G583" s="8" t="n"/>
      <c r="H583" s="27" t="n"/>
      <c r="I583" s="27" t="n"/>
      <c r="J583" s="8" t="n"/>
      <c r="K583" s="8" t="n"/>
      <c r="L583" s="10" t="n"/>
      <c r="M583" s="8" t="n"/>
      <c r="N583" s="11">
        <f>IF(OR(J583="",H583="",I583=""),"",J583/((I583-H583)*1440))</f>
        <v/>
      </c>
      <c r="O583" s="7" t="n"/>
      <c r="P583" s="7" t="n"/>
      <c r="Q583" s="7" t="n"/>
      <c r="R583" s="12" t="n"/>
      <c r="S583" s="13">
        <f>IF(OR(R583="",J583=""),"",R583/J583-1)</f>
        <v/>
      </c>
      <c r="T583" s="14">
        <f>IF(OR(L583="",R583="",J583=""),"",SQRT(4+(L583^2-4)*(R583/J583)^2))</f>
        <v/>
      </c>
      <c r="U583" s="7" t="n"/>
      <c r="V583" s="7" t="n"/>
    </row>
    <row r="584">
      <c r="A584" s="7" t="inlineStr">
        <is>
          <t>p-1-5-i1</t>
        </is>
      </c>
      <c r="B584" s="7" t="inlineStr">
        <is>
          <t>1</t>
        </is>
      </c>
      <c r="C584" s="7" t="inlineStr">
        <is>
          <t>p</t>
        </is>
      </c>
      <c r="D584" s="7" t="inlineStr">
        <is>
          <t>PVC-80</t>
        </is>
      </c>
      <c r="E584" s="7" t="n">
        <v>5</v>
      </c>
      <c r="F584" s="7" t="n">
        <v>1</v>
      </c>
      <c r="G584" s="8" t="n"/>
      <c r="H584" s="27" t="n"/>
      <c r="I584" s="27" t="n"/>
      <c r="J584" s="8" t="n"/>
      <c r="K584" s="8" t="n"/>
      <c r="L584" s="10" t="n"/>
      <c r="M584" s="8" t="n"/>
      <c r="N584" s="11">
        <f>IF(OR(J584="",H584="",I584=""),"",J584/((I584-H584)*1440))</f>
        <v/>
      </c>
      <c r="O584" s="7" t="n"/>
      <c r="P584" s="7" t="n"/>
      <c r="Q584" s="7" t="n"/>
      <c r="R584" s="12" t="n"/>
      <c r="S584" s="13">
        <f>IF(OR(R584="",J584=""),"",R584/J584-1)</f>
        <v/>
      </c>
      <c r="T584" s="14">
        <f>IF(OR(L584="",R584="",J584=""),"",SQRT(4+(L584^2-4)*(R584/J584)^2))</f>
        <v/>
      </c>
      <c r="U584" s="7" t="n"/>
      <c r="V584" s="7" t="n"/>
    </row>
    <row r="585">
      <c r="A585" s="7" t="inlineStr">
        <is>
          <t>p-1-5-i2</t>
        </is>
      </c>
      <c r="B585" s="7" t="inlineStr">
        <is>
          <t>1</t>
        </is>
      </c>
      <c r="C585" s="7" t="inlineStr">
        <is>
          <t>p</t>
        </is>
      </c>
      <c r="D585" s="7" t="inlineStr">
        <is>
          <t>PVC-80</t>
        </is>
      </c>
      <c r="E585" s="7" t="n">
        <v>5</v>
      </c>
      <c r="F585" s="7" t="n">
        <v>2</v>
      </c>
      <c r="G585" s="8" t="n"/>
      <c r="H585" s="27" t="n"/>
      <c r="I585" s="27" t="n"/>
      <c r="J585" s="8" t="n"/>
      <c r="K585" s="8" t="n"/>
      <c r="L585" s="10" t="n"/>
      <c r="M585" s="8" t="n"/>
      <c r="N585" s="11">
        <f>IF(OR(J585="",H585="",I585=""),"",J585/((I585-H585)*1440))</f>
        <v/>
      </c>
      <c r="O585" s="7" t="n"/>
      <c r="P585" s="7" t="n"/>
      <c r="Q585" s="7" t="n"/>
      <c r="R585" s="12" t="n"/>
      <c r="S585" s="13">
        <f>IF(OR(R585="",J585=""),"",R585/J585-1)</f>
        <v/>
      </c>
      <c r="T585" s="14">
        <f>IF(OR(L585="",R585="",J585=""),"",SQRT(4+(L585^2-4)*(R585/J585)^2))</f>
        <v/>
      </c>
      <c r="U585" s="7" t="n"/>
      <c r="V585" s="7" t="n"/>
    </row>
    <row r="586">
      <c r="A586" s="7" t="inlineStr">
        <is>
          <t>p-1-5-i3</t>
        </is>
      </c>
      <c r="B586" s="7" t="inlineStr">
        <is>
          <t>1</t>
        </is>
      </c>
      <c r="C586" s="7" t="inlineStr">
        <is>
          <t>p</t>
        </is>
      </c>
      <c r="D586" s="7" t="inlineStr">
        <is>
          <t>PVC-80</t>
        </is>
      </c>
      <c r="E586" s="7" t="n">
        <v>5</v>
      </c>
      <c r="F586" s="7" t="n">
        <v>3</v>
      </c>
      <c r="G586" s="8" t="n"/>
      <c r="H586" s="27" t="n"/>
      <c r="I586" s="27" t="n"/>
      <c r="J586" s="8" t="n"/>
      <c r="K586" s="8" t="n"/>
      <c r="L586" s="10" t="n"/>
      <c r="M586" s="8" t="n"/>
      <c r="N586" s="11">
        <f>IF(OR(J586="",H586="",I586=""),"",J586/((I586-H586)*1440))</f>
        <v/>
      </c>
      <c r="O586" s="7" t="n"/>
      <c r="P586" s="7" t="n"/>
      <c r="Q586" s="7" t="n"/>
      <c r="R586" s="12" t="n"/>
      <c r="S586" s="13">
        <f>IF(OR(R586="",J586=""),"",R586/J586-1)</f>
        <v/>
      </c>
      <c r="T586" s="14">
        <f>IF(OR(L586="",R586="",J586=""),"",SQRT(4+(L586^2-4)*(R586/J586)^2))</f>
        <v/>
      </c>
      <c r="U586" s="7" t="n"/>
      <c r="V586" s="7" t="n"/>
    </row>
    <row r="587">
      <c r="A587" s="7" t="inlineStr">
        <is>
          <t>p-1-10-i1</t>
        </is>
      </c>
      <c r="B587" s="7" t="inlineStr">
        <is>
          <t>1</t>
        </is>
      </c>
      <c r="C587" s="7" t="inlineStr">
        <is>
          <t>p</t>
        </is>
      </c>
      <c r="D587" s="7" t="inlineStr">
        <is>
          <t>PVC-80</t>
        </is>
      </c>
      <c r="E587" s="7" t="n">
        <v>10</v>
      </c>
      <c r="F587" s="7" t="n">
        <v>1</v>
      </c>
      <c r="G587" s="8" t="n"/>
      <c r="H587" s="27" t="n"/>
      <c r="I587" s="27" t="n"/>
      <c r="J587" s="8" t="n"/>
      <c r="K587" s="8" t="n"/>
      <c r="L587" s="10" t="n"/>
      <c r="M587" s="8" t="n"/>
      <c r="N587" s="11">
        <f>IF(OR(J587="",H587="",I587=""),"",J587/((I587-H587)*1440))</f>
        <v/>
      </c>
      <c r="O587" s="7" t="n"/>
      <c r="P587" s="7" t="n"/>
      <c r="Q587" s="7" t="n"/>
      <c r="R587" s="12" t="n"/>
      <c r="S587" s="13">
        <f>IF(OR(R587="",J587=""),"",R587/J587-1)</f>
        <v/>
      </c>
      <c r="T587" s="14">
        <f>IF(OR(L587="",R587="",J587=""),"",SQRT(4+(L587^2-4)*(R587/J587)^2))</f>
        <v/>
      </c>
      <c r="U587" s="7" t="n"/>
      <c r="V587" s="7" t="n"/>
    </row>
    <row r="588">
      <c r="A588" s="7" t="inlineStr">
        <is>
          <t>p-1-10-i2</t>
        </is>
      </c>
      <c r="B588" s="7" t="inlineStr">
        <is>
          <t>1</t>
        </is>
      </c>
      <c r="C588" s="7" t="inlineStr">
        <is>
          <t>p</t>
        </is>
      </c>
      <c r="D588" s="7" t="inlineStr">
        <is>
          <t>PVC-80</t>
        </is>
      </c>
      <c r="E588" s="7" t="n">
        <v>10</v>
      </c>
      <c r="F588" s="7" t="n">
        <v>2</v>
      </c>
      <c r="G588" s="8" t="n"/>
      <c r="H588" s="27" t="n"/>
      <c r="I588" s="27" t="n"/>
      <c r="J588" s="8" t="n"/>
      <c r="K588" s="8" t="n"/>
      <c r="L588" s="10" t="n"/>
      <c r="M588" s="8" t="n"/>
      <c r="N588" s="11">
        <f>IF(OR(J588="",H588="",I588=""),"",J588/((I588-H588)*1440))</f>
        <v/>
      </c>
      <c r="O588" s="7" t="n"/>
      <c r="P588" s="7" t="n"/>
      <c r="Q588" s="7" t="n"/>
      <c r="R588" s="12" t="n"/>
      <c r="S588" s="13">
        <f>IF(OR(R588="",J588=""),"",R588/J588-1)</f>
        <v/>
      </c>
      <c r="T588" s="14">
        <f>IF(OR(L588="",R588="",J588=""),"",SQRT(4+(L588^2-4)*(R588/J588)^2))</f>
        <v/>
      </c>
      <c r="U588" s="7" t="n"/>
      <c r="V588" s="7" t="n"/>
    </row>
    <row r="589">
      <c r="A589" s="7" t="inlineStr">
        <is>
          <t>p-1-10-i3</t>
        </is>
      </c>
      <c r="B589" s="7" t="inlineStr">
        <is>
          <t>1</t>
        </is>
      </c>
      <c r="C589" s="7" t="inlineStr">
        <is>
          <t>p</t>
        </is>
      </c>
      <c r="D589" s="7" t="inlineStr">
        <is>
          <t>PVC-80</t>
        </is>
      </c>
      <c r="E589" s="7" t="n">
        <v>10</v>
      </c>
      <c r="F589" s="7" t="n">
        <v>3</v>
      </c>
      <c r="G589" s="8" t="n"/>
      <c r="H589" s="27" t="n"/>
      <c r="I589" s="27" t="n"/>
      <c r="J589" s="8" t="n"/>
      <c r="K589" s="8" t="n"/>
      <c r="L589" s="10" t="n"/>
      <c r="M589" s="8" t="n"/>
      <c r="N589" s="11">
        <f>IF(OR(J589="",H589="",I589=""),"",J589/((I589-H589)*1440))</f>
        <v/>
      </c>
      <c r="O589" s="7" t="n"/>
      <c r="P589" s="7" t="n"/>
      <c r="Q589" s="7" t="n"/>
      <c r="R589" s="12" t="n"/>
      <c r="S589" s="13">
        <f>IF(OR(R589="",J589=""),"",R589/J589-1)</f>
        <v/>
      </c>
      <c r="T589" s="14">
        <f>IF(OR(L589="",R589="",J589=""),"",SQRT(4+(L589^2-4)*(R589/J589)^2))</f>
        <v/>
      </c>
      <c r="U589" s="7" t="n"/>
      <c r="V589" s="7" t="n"/>
    </row>
    <row r="590">
      <c r="A590" s="7" t="inlineStr">
        <is>
          <t>x-1-0.5-i1</t>
        </is>
      </c>
      <c r="B590" s="7" t="inlineStr">
        <is>
          <t>1</t>
        </is>
      </c>
      <c r="C590" s="7" t="inlineStr">
        <is>
          <t>x</t>
        </is>
      </c>
      <c r="D590" s="7" t="inlineStr">
        <is>
          <t>PEX-B</t>
        </is>
      </c>
      <c r="E590" s="7" t="n">
        <v>0.5</v>
      </c>
      <c r="F590" s="7" t="n">
        <v>1</v>
      </c>
      <c r="G590" s="8" t="n"/>
      <c r="H590" s="27" t="n"/>
      <c r="I590" s="27" t="n"/>
      <c r="J590" s="8" t="n"/>
      <c r="K590" s="8" t="n"/>
      <c r="L590" s="10" t="n"/>
      <c r="M590" s="8" t="n"/>
      <c r="N590" s="11">
        <f>IF(OR(J590="",H590="",I590=""),"",J590/((I590-H590)*1440))</f>
        <v/>
      </c>
      <c r="O590" s="7" t="n"/>
      <c r="P590" s="7" t="n"/>
      <c r="Q590" s="7" t="n"/>
      <c r="R590" s="12" t="n"/>
      <c r="S590" s="13">
        <f>IF(OR(R590="",J590=""),"",R590/J590-1)</f>
        <v/>
      </c>
      <c r="T590" s="14">
        <f>IF(OR(L590="",R590="",J590=""),"",SQRT(4+(L590^2-4)*(R590/J590)^2))</f>
        <v/>
      </c>
      <c r="U590" s="7" t="n"/>
      <c r="V590" s="7" t="n"/>
    </row>
    <row r="591">
      <c r="A591" s="7" t="inlineStr">
        <is>
          <t>x-1-0.5-i2</t>
        </is>
      </c>
      <c r="B591" s="7" t="inlineStr">
        <is>
          <t>1</t>
        </is>
      </c>
      <c r="C591" s="7" t="inlineStr">
        <is>
          <t>x</t>
        </is>
      </c>
      <c r="D591" s="7" t="inlineStr">
        <is>
          <t>PEX-B</t>
        </is>
      </c>
      <c r="E591" s="7" t="n">
        <v>0.5</v>
      </c>
      <c r="F591" s="7" t="n">
        <v>2</v>
      </c>
      <c r="G591" s="8" t="n"/>
      <c r="H591" s="27" t="n"/>
      <c r="I591" s="27" t="n"/>
      <c r="J591" s="8" t="n"/>
      <c r="K591" s="8" t="n"/>
      <c r="L591" s="10" t="n"/>
      <c r="M591" s="8" t="n"/>
      <c r="N591" s="11">
        <f>IF(OR(J591="",H591="",I591=""),"",J591/((I591-H591)*1440))</f>
        <v/>
      </c>
      <c r="O591" s="7" t="n"/>
      <c r="P591" s="7" t="n"/>
      <c r="Q591" s="7" t="n"/>
      <c r="R591" s="12" t="n"/>
      <c r="S591" s="13">
        <f>IF(OR(R591="",J591=""),"",R591/J591-1)</f>
        <v/>
      </c>
      <c r="T591" s="14">
        <f>IF(OR(L591="",R591="",J591=""),"",SQRT(4+(L591^2-4)*(R591/J591)^2))</f>
        <v/>
      </c>
      <c r="U591" s="7" t="n"/>
      <c r="V591" s="7" t="n"/>
    </row>
    <row r="592">
      <c r="A592" s="7" t="inlineStr">
        <is>
          <t>x-1-0.5-i3</t>
        </is>
      </c>
      <c r="B592" s="7" t="inlineStr">
        <is>
          <t>1</t>
        </is>
      </c>
      <c r="C592" s="7" t="inlineStr">
        <is>
          <t>x</t>
        </is>
      </c>
      <c r="D592" s="7" t="inlineStr">
        <is>
          <t>PEX-B</t>
        </is>
      </c>
      <c r="E592" s="7" t="n">
        <v>0.5</v>
      </c>
      <c r="F592" s="7" t="n">
        <v>3</v>
      </c>
      <c r="G592" s="8" t="n"/>
      <c r="H592" s="27" t="n"/>
      <c r="I592" s="27" t="n"/>
      <c r="J592" s="8" t="n"/>
      <c r="K592" s="8" t="n"/>
      <c r="L592" s="10" t="n"/>
      <c r="M592" s="8" t="n"/>
      <c r="N592" s="11">
        <f>IF(OR(J592="",H592="",I592=""),"",J592/((I592-H592)*1440))</f>
        <v/>
      </c>
      <c r="O592" s="7" t="n"/>
      <c r="P592" s="7" t="n"/>
      <c r="Q592" s="7" t="n"/>
      <c r="R592" s="12" t="n"/>
      <c r="S592" s="13">
        <f>IF(OR(R592="",J592=""),"",R592/J592-1)</f>
        <v/>
      </c>
      <c r="T592" s="14">
        <f>IF(OR(L592="",R592="",J592=""),"",SQRT(4+(L592^2-4)*(R592/J592)^2))</f>
        <v/>
      </c>
      <c r="U592" s="7" t="n"/>
      <c r="V592" s="7" t="n"/>
    </row>
    <row r="593">
      <c r="A593" s="7" t="inlineStr">
        <is>
          <t>x-1-1-i1</t>
        </is>
      </c>
      <c r="B593" s="7" t="inlineStr">
        <is>
          <t>1</t>
        </is>
      </c>
      <c r="C593" s="7" t="inlineStr">
        <is>
          <t>x</t>
        </is>
      </c>
      <c r="D593" s="7" t="inlineStr">
        <is>
          <t>PEX-B</t>
        </is>
      </c>
      <c r="E593" s="7" t="n">
        <v>1</v>
      </c>
      <c r="F593" s="7" t="n">
        <v>1</v>
      </c>
      <c r="G593" s="8" t="n"/>
      <c r="H593" s="27" t="n"/>
      <c r="I593" s="27" t="n"/>
      <c r="J593" s="8" t="n"/>
      <c r="K593" s="8" t="n"/>
      <c r="L593" s="10" t="n"/>
      <c r="M593" s="8" t="n"/>
      <c r="N593" s="11">
        <f>IF(OR(J593="",H593="",I593=""),"",J593/((I593-H593)*1440))</f>
        <v/>
      </c>
      <c r="O593" s="7" t="n"/>
      <c r="P593" s="7" t="n"/>
      <c r="Q593" s="7" t="n"/>
      <c r="R593" s="12" t="n"/>
      <c r="S593" s="13">
        <f>IF(OR(R593="",J593=""),"",R593/J593-1)</f>
        <v/>
      </c>
      <c r="T593" s="14">
        <f>IF(OR(L593="",R593="",J593=""),"",SQRT(4+(L593^2-4)*(R593/J593)^2))</f>
        <v/>
      </c>
      <c r="U593" s="7" t="n"/>
      <c r="V593" s="7" t="n"/>
    </row>
    <row r="594">
      <c r="A594" s="7" t="inlineStr">
        <is>
          <t>x-1-1-i2</t>
        </is>
      </c>
      <c r="B594" s="7" t="inlineStr">
        <is>
          <t>1</t>
        </is>
      </c>
      <c r="C594" s="7" t="inlineStr">
        <is>
          <t>x</t>
        </is>
      </c>
      <c r="D594" s="7" t="inlineStr">
        <is>
          <t>PEX-B</t>
        </is>
      </c>
      <c r="E594" s="7" t="n">
        <v>1</v>
      </c>
      <c r="F594" s="7" t="n">
        <v>2</v>
      </c>
      <c r="G594" s="8" t="n"/>
      <c r="H594" s="27" t="n"/>
      <c r="I594" s="27" t="n"/>
      <c r="J594" s="8" t="n"/>
      <c r="K594" s="8" t="n"/>
      <c r="L594" s="10" t="n"/>
      <c r="M594" s="8" t="n"/>
      <c r="N594" s="11">
        <f>IF(OR(J594="",H594="",I594=""),"",J594/((I594-H594)*1440))</f>
        <v/>
      </c>
      <c r="O594" s="7" t="n"/>
      <c r="P594" s="7" t="n"/>
      <c r="Q594" s="7" t="n"/>
      <c r="R594" s="12" t="n"/>
      <c r="S594" s="13">
        <f>IF(OR(R594="",J594=""),"",R594/J594-1)</f>
        <v/>
      </c>
      <c r="T594" s="14">
        <f>IF(OR(L594="",R594="",J594=""),"",SQRT(4+(L594^2-4)*(R594/J594)^2))</f>
        <v/>
      </c>
      <c r="U594" s="7" t="n"/>
      <c r="V594" s="7" t="n"/>
    </row>
    <row r="595">
      <c r="A595" s="7" t="inlineStr">
        <is>
          <t>x-1-1-i3</t>
        </is>
      </c>
      <c r="B595" s="7" t="inlineStr">
        <is>
          <t>1</t>
        </is>
      </c>
      <c r="C595" s="7" t="inlineStr">
        <is>
          <t>x</t>
        </is>
      </c>
      <c r="D595" s="7" t="inlineStr">
        <is>
          <t>PEX-B</t>
        </is>
      </c>
      <c r="E595" s="7" t="n">
        <v>1</v>
      </c>
      <c r="F595" s="7" t="n">
        <v>3</v>
      </c>
      <c r="G595" s="8" t="n"/>
      <c r="H595" s="27" t="n"/>
      <c r="I595" s="27" t="n"/>
      <c r="J595" s="8" t="n"/>
      <c r="K595" s="8" t="n"/>
      <c r="L595" s="10" t="n"/>
      <c r="M595" s="8" t="n"/>
      <c r="N595" s="11">
        <f>IF(OR(J595="",H595="",I595=""),"",J595/((I595-H595)*1440))</f>
        <v/>
      </c>
      <c r="O595" s="7" t="n"/>
      <c r="P595" s="7" t="n"/>
      <c r="Q595" s="7" t="n"/>
      <c r="R595" s="12" t="n"/>
      <c r="S595" s="13">
        <f>IF(OR(R595="",J595=""),"",R595/J595-1)</f>
        <v/>
      </c>
      <c r="T595" s="14">
        <f>IF(OR(L595="",R595="",J595=""),"",SQRT(4+(L595^2-4)*(R595/J595)^2))</f>
        <v/>
      </c>
      <c r="U595" s="7" t="n"/>
      <c r="V595" s="7" t="n"/>
    </row>
    <row r="596">
      <c r="A596" s="7" t="inlineStr">
        <is>
          <t>x-1-3-i1</t>
        </is>
      </c>
      <c r="B596" s="7" t="inlineStr">
        <is>
          <t>1</t>
        </is>
      </c>
      <c r="C596" s="7" t="inlineStr">
        <is>
          <t>x</t>
        </is>
      </c>
      <c r="D596" s="7" t="inlineStr">
        <is>
          <t>PEX-B</t>
        </is>
      </c>
      <c r="E596" s="7" t="n">
        <v>3</v>
      </c>
      <c r="F596" s="7" t="n">
        <v>1</v>
      </c>
      <c r="G596" s="8" t="n"/>
      <c r="H596" s="27" t="n"/>
      <c r="I596" s="27" t="n"/>
      <c r="J596" s="8" t="n"/>
      <c r="K596" s="8" t="n"/>
      <c r="L596" s="10" t="n"/>
      <c r="M596" s="8" t="n"/>
      <c r="N596" s="11">
        <f>IF(OR(J596="",H596="",I596=""),"",J596/((I596-H596)*1440))</f>
        <v/>
      </c>
      <c r="O596" s="7" t="n"/>
      <c r="P596" s="7" t="n"/>
      <c r="Q596" s="7" t="n"/>
      <c r="R596" s="12" t="n"/>
      <c r="S596" s="13">
        <f>IF(OR(R596="",J596=""),"",R596/J596-1)</f>
        <v/>
      </c>
      <c r="T596" s="14">
        <f>IF(OR(L596="",R596="",J596=""),"",SQRT(4+(L596^2-4)*(R596/J596)^2))</f>
        <v/>
      </c>
      <c r="U596" s="7" t="n"/>
      <c r="V596" s="7" t="n"/>
    </row>
    <row r="597">
      <c r="A597" s="7" t="inlineStr">
        <is>
          <t>x-1-3-i2</t>
        </is>
      </c>
      <c r="B597" s="7" t="inlineStr">
        <is>
          <t>1</t>
        </is>
      </c>
      <c r="C597" s="7" t="inlineStr">
        <is>
          <t>x</t>
        </is>
      </c>
      <c r="D597" s="7" t="inlineStr">
        <is>
          <t>PEX-B</t>
        </is>
      </c>
      <c r="E597" s="7" t="n">
        <v>3</v>
      </c>
      <c r="F597" s="7" t="n">
        <v>2</v>
      </c>
      <c r="G597" s="8" t="n"/>
      <c r="H597" s="27" t="n"/>
      <c r="I597" s="27" t="n"/>
      <c r="J597" s="8" t="n"/>
      <c r="K597" s="8" t="n"/>
      <c r="L597" s="10" t="n"/>
      <c r="M597" s="8" t="n"/>
      <c r="N597" s="11">
        <f>IF(OR(J597="",H597="",I597=""),"",J597/((I597-H597)*1440))</f>
        <v/>
      </c>
      <c r="O597" s="7" t="n"/>
      <c r="P597" s="7" t="n"/>
      <c r="Q597" s="7" t="n"/>
      <c r="R597" s="12" t="n"/>
      <c r="S597" s="13">
        <f>IF(OR(R597="",J597=""),"",R597/J597-1)</f>
        <v/>
      </c>
      <c r="T597" s="14">
        <f>IF(OR(L597="",R597="",J597=""),"",SQRT(4+(L597^2-4)*(R597/J597)^2))</f>
        <v/>
      </c>
      <c r="U597" s="7" t="n"/>
      <c r="V597" s="7" t="n"/>
    </row>
    <row r="598">
      <c r="A598" s="7" t="inlineStr">
        <is>
          <t>x-1-3-i3</t>
        </is>
      </c>
      <c r="B598" s="7" t="inlineStr">
        <is>
          <t>1</t>
        </is>
      </c>
      <c r="C598" s="7" t="inlineStr">
        <is>
          <t>x</t>
        </is>
      </c>
      <c r="D598" s="7" t="inlineStr">
        <is>
          <t>PEX-B</t>
        </is>
      </c>
      <c r="E598" s="7" t="n">
        <v>3</v>
      </c>
      <c r="F598" s="7" t="n">
        <v>3</v>
      </c>
      <c r="G598" s="8" t="n"/>
      <c r="H598" s="27" t="n"/>
      <c r="I598" s="27" t="n"/>
      <c r="J598" s="8" t="n"/>
      <c r="K598" s="8" t="n"/>
      <c r="L598" s="10" t="n"/>
      <c r="M598" s="8" t="n"/>
      <c r="N598" s="11">
        <f>IF(OR(J598="",H598="",I598=""),"",J598/((I598-H598)*1440))</f>
        <v/>
      </c>
      <c r="O598" s="7" t="n"/>
      <c r="P598" s="7" t="n"/>
      <c r="Q598" s="7" t="n"/>
      <c r="R598" s="12" t="n"/>
      <c r="S598" s="13">
        <f>IF(OR(R598="",J598=""),"",R598/J598-1)</f>
        <v/>
      </c>
      <c r="T598" s="14">
        <f>IF(OR(L598="",R598="",J598=""),"",SQRT(4+(L598^2-4)*(R598/J598)^2))</f>
        <v/>
      </c>
      <c r="U598" s="7" t="n"/>
      <c r="V598" s="7" t="n"/>
    </row>
    <row r="599">
      <c r="A599" s="7" t="inlineStr">
        <is>
          <t>x-1-5-i1</t>
        </is>
      </c>
      <c r="B599" s="7" t="inlineStr">
        <is>
          <t>1</t>
        </is>
      </c>
      <c r="C599" s="7" t="inlineStr">
        <is>
          <t>x</t>
        </is>
      </c>
      <c r="D599" s="7" t="inlineStr">
        <is>
          <t>PEX-B</t>
        </is>
      </c>
      <c r="E599" s="7" t="n">
        <v>5</v>
      </c>
      <c r="F599" s="7" t="n">
        <v>1</v>
      </c>
      <c r="G599" s="8" t="n"/>
      <c r="H599" s="27" t="n"/>
      <c r="I599" s="27" t="n"/>
      <c r="J599" s="8" t="n"/>
      <c r="K599" s="8" t="n"/>
      <c r="L599" s="10" t="n"/>
      <c r="M599" s="8" t="n"/>
      <c r="N599" s="11">
        <f>IF(OR(J599="",H599="",I599=""),"",J599/((I599-H599)*1440))</f>
        <v/>
      </c>
      <c r="O599" s="7" t="n"/>
      <c r="P599" s="7" t="n"/>
      <c r="Q599" s="7" t="n"/>
      <c r="R599" s="12" t="n"/>
      <c r="S599" s="13">
        <f>IF(OR(R599="",J599=""),"",R599/J599-1)</f>
        <v/>
      </c>
      <c r="T599" s="14">
        <f>IF(OR(L599="",R599="",J599=""),"",SQRT(4+(L599^2-4)*(R599/J599)^2))</f>
        <v/>
      </c>
      <c r="U599" s="7" t="n"/>
      <c r="V599" s="7" t="n"/>
    </row>
    <row r="600">
      <c r="A600" s="7" t="inlineStr">
        <is>
          <t>x-1-5-i2</t>
        </is>
      </c>
      <c r="B600" s="7" t="inlineStr">
        <is>
          <t>1</t>
        </is>
      </c>
      <c r="C600" s="7" t="inlineStr">
        <is>
          <t>x</t>
        </is>
      </c>
      <c r="D600" s="7" t="inlineStr">
        <is>
          <t>PEX-B</t>
        </is>
      </c>
      <c r="E600" s="7" t="n">
        <v>5</v>
      </c>
      <c r="F600" s="7" t="n">
        <v>2</v>
      </c>
      <c r="G600" s="8" t="n"/>
      <c r="H600" s="27" t="n"/>
      <c r="I600" s="27" t="n"/>
      <c r="J600" s="8" t="n"/>
      <c r="K600" s="8" t="n"/>
      <c r="L600" s="10" t="n"/>
      <c r="M600" s="8" t="n"/>
      <c r="N600" s="11">
        <f>IF(OR(J600="",H600="",I600=""),"",J600/((I600-H600)*1440))</f>
        <v/>
      </c>
      <c r="O600" s="7" t="n"/>
      <c r="P600" s="7" t="n"/>
      <c r="Q600" s="7" t="n"/>
      <c r="R600" s="12" t="n"/>
      <c r="S600" s="13">
        <f>IF(OR(R600="",J600=""),"",R600/J600-1)</f>
        <v/>
      </c>
      <c r="T600" s="14">
        <f>IF(OR(L600="",R600="",J600=""),"",SQRT(4+(L600^2-4)*(R600/J600)^2))</f>
        <v/>
      </c>
      <c r="U600" s="7" t="n"/>
      <c r="V600" s="7" t="n"/>
    </row>
    <row r="601">
      <c r="A601" s="7" t="inlineStr">
        <is>
          <t>x-1-5-i3</t>
        </is>
      </c>
      <c r="B601" s="7" t="inlineStr">
        <is>
          <t>1</t>
        </is>
      </c>
      <c r="C601" s="7" t="inlineStr">
        <is>
          <t>x</t>
        </is>
      </c>
      <c r="D601" s="7" t="inlineStr">
        <is>
          <t>PEX-B</t>
        </is>
      </c>
      <c r="E601" s="7" t="n">
        <v>5</v>
      </c>
      <c r="F601" s="7" t="n">
        <v>3</v>
      </c>
      <c r="G601" s="8" t="n"/>
      <c r="H601" s="27" t="n"/>
      <c r="I601" s="27" t="n"/>
      <c r="J601" s="8" t="n"/>
      <c r="K601" s="8" t="n"/>
      <c r="L601" s="10" t="n"/>
      <c r="M601" s="8" t="n"/>
      <c r="N601" s="11">
        <f>IF(OR(J601="",H601="",I601=""),"",J601/((I601-H601)*1440))</f>
        <v/>
      </c>
      <c r="O601" s="7" t="n"/>
      <c r="P601" s="7" t="n"/>
      <c r="Q601" s="7" t="n"/>
      <c r="R601" s="12" t="n"/>
      <c r="S601" s="13">
        <f>IF(OR(R601="",J601=""),"",R601/J601-1)</f>
        <v/>
      </c>
      <c r="T601" s="14">
        <f>IF(OR(L601="",R601="",J601=""),"",SQRT(4+(L601^2-4)*(R601/J601)^2))</f>
        <v/>
      </c>
      <c r="U601" s="7" t="n"/>
      <c r="V601" s="7" t="n"/>
    </row>
    <row r="602">
      <c r="A602" s="7" t="inlineStr">
        <is>
          <t>x-1-10-i1</t>
        </is>
      </c>
      <c r="B602" s="7" t="inlineStr">
        <is>
          <t>1</t>
        </is>
      </c>
      <c r="C602" s="7" t="inlineStr">
        <is>
          <t>x</t>
        </is>
      </c>
      <c r="D602" s="7" t="inlineStr">
        <is>
          <t>PEX-B</t>
        </is>
      </c>
      <c r="E602" s="7" t="n">
        <v>10</v>
      </c>
      <c r="F602" s="7" t="n">
        <v>1</v>
      </c>
      <c r="G602" s="8" t="n"/>
      <c r="H602" s="27" t="n"/>
      <c r="I602" s="27" t="n"/>
      <c r="J602" s="8" t="n"/>
      <c r="K602" s="8" t="n"/>
      <c r="L602" s="10" t="n"/>
      <c r="M602" s="8" t="n"/>
      <c r="N602" s="11">
        <f>IF(OR(J602="",H602="",I602=""),"",J602/((I602-H602)*1440))</f>
        <v/>
      </c>
      <c r="O602" s="7" t="n"/>
      <c r="P602" s="7" t="n"/>
      <c r="Q602" s="7" t="n"/>
      <c r="R602" s="12" t="n"/>
      <c r="S602" s="13">
        <f>IF(OR(R602="",J602=""),"",R602/J602-1)</f>
        <v/>
      </c>
      <c r="T602" s="14">
        <f>IF(OR(L602="",R602="",J602=""),"",SQRT(4+(L602^2-4)*(R602/J602)^2))</f>
        <v/>
      </c>
      <c r="U602" s="7" t="n"/>
      <c r="V602" s="7" t="n"/>
    </row>
    <row r="603">
      <c r="A603" s="7" t="inlineStr">
        <is>
          <t>x-1-10-i2</t>
        </is>
      </c>
      <c r="B603" s="7" t="inlineStr">
        <is>
          <t>1</t>
        </is>
      </c>
      <c r="C603" s="7" t="inlineStr">
        <is>
          <t>x</t>
        </is>
      </c>
      <c r="D603" s="7" t="inlineStr">
        <is>
          <t>PEX-B</t>
        </is>
      </c>
      <c r="E603" s="7" t="n">
        <v>10</v>
      </c>
      <c r="F603" s="7" t="n">
        <v>2</v>
      </c>
      <c r="G603" s="8" t="n"/>
      <c r="H603" s="27" t="n"/>
      <c r="I603" s="27" t="n"/>
      <c r="J603" s="8" t="n"/>
      <c r="K603" s="8" t="n"/>
      <c r="L603" s="10" t="n"/>
      <c r="M603" s="8" t="n"/>
      <c r="N603" s="11">
        <f>IF(OR(J603="",H603="",I603=""),"",J603/((I603-H603)*1440))</f>
        <v/>
      </c>
      <c r="O603" s="7" t="n"/>
      <c r="P603" s="7" t="n"/>
      <c r="Q603" s="7" t="n"/>
      <c r="R603" s="12" t="n"/>
      <c r="S603" s="13">
        <f>IF(OR(R603="",J603=""),"",R603/J603-1)</f>
        <v/>
      </c>
      <c r="T603" s="14">
        <f>IF(OR(L603="",R603="",J603=""),"",SQRT(4+(L603^2-4)*(R603/J603)^2))</f>
        <v/>
      </c>
      <c r="U603" s="7" t="n"/>
      <c r="V603" s="7" t="n"/>
    </row>
    <row r="604">
      <c r="A604" s="7" t="inlineStr">
        <is>
          <t>x-1-10-i3</t>
        </is>
      </c>
      <c r="B604" s="7" t="inlineStr">
        <is>
          <t>1</t>
        </is>
      </c>
      <c r="C604" s="7" t="inlineStr">
        <is>
          <t>x</t>
        </is>
      </c>
      <c r="D604" s="7" t="inlineStr">
        <is>
          <t>PEX-B</t>
        </is>
      </c>
      <c r="E604" s="7" t="n">
        <v>10</v>
      </c>
      <c r="F604" s="7" t="n">
        <v>3</v>
      </c>
      <c r="G604" s="8" t="n"/>
      <c r="H604" s="27" t="n"/>
      <c r="I604" s="27" t="n"/>
      <c r="J604" s="8" t="n"/>
      <c r="K604" s="8" t="n"/>
      <c r="L604" s="10" t="n"/>
      <c r="M604" s="8" t="n"/>
      <c r="N604" s="11">
        <f>IF(OR(J604="",H604="",I604=""),"",J604/((I604-H604)*1440))</f>
        <v/>
      </c>
      <c r="O604" s="7" t="n"/>
      <c r="P604" s="7" t="n"/>
      <c r="Q604" s="7" t="n"/>
      <c r="R604" s="12" t="n"/>
      <c r="S604" s="13">
        <f>IF(OR(R604="",J604=""),"",R604/J604-1)</f>
        <v/>
      </c>
      <c r="T604" s="14">
        <f>IF(OR(L604="",R604="",J604=""),"",SQRT(4+(L604^2-4)*(R604/J604)^2))</f>
        <v/>
      </c>
      <c r="U604" s="7" t="n"/>
      <c r="V604" s="7" t="n"/>
    </row>
    <row r="605">
      <c r="A605" s="7" t="inlineStr">
        <is>
          <t>B-1-0.5-i1</t>
        </is>
      </c>
      <c r="B605" s="7" t="inlineStr">
        <is>
          <t>1</t>
        </is>
      </c>
      <c r="C605" s="7" t="inlineStr">
        <is>
          <t>B</t>
        </is>
      </c>
      <c r="D605" s="7" t="inlineStr">
        <is>
          <t>B (.815)</t>
        </is>
      </c>
      <c r="E605" s="7" t="n">
        <v>0.5</v>
      </c>
      <c r="F605" s="7" t="n">
        <v>1</v>
      </c>
      <c r="G605" s="8" t="n"/>
      <c r="H605" s="27" t="n"/>
      <c r="I605" s="27" t="n"/>
      <c r="J605" s="8" t="n"/>
      <c r="K605" s="8" t="n"/>
      <c r="L605" s="10" t="n"/>
      <c r="M605" s="8" t="n"/>
      <c r="N605" s="11">
        <f>IF(OR(J605="",H605="",I605=""),"",J605/((I605-H605)*1440))</f>
        <v/>
      </c>
      <c r="O605" s="7" t="n"/>
      <c r="P605" s="7" t="n"/>
      <c r="Q605" s="7" t="n"/>
      <c r="R605" s="12" t="n"/>
      <c r="S605" s="13">
        <f>IF(OR(R605="",J605=""),"",R605/J605-1)</f>
        <v/>
      </c>
      <c r="T605" s="14">
        <f>IF(OR(L605="",R605="",J605=""),"",SQRT(4+(L605^2-4)*(R605/J605)^2))</f>
        <v/>
      </c>
      <c r="U605" s="7" t="n"/>
      <c r="V605" s="7" t="n"/>
    </row>
    <row r="606">
      <c r="A606" s="7" t="inlineStr">
        <is>
          <t>B-1-0.5-i2</t>
        </is>
      </c>
      <c r="B606" s="7" t="inlineStr">
        <is>
          <t>1</t>
        </is>
      </c>
      <c r="C606" s="7" t="inlineStr">
        <is>
          <t>B</t>
        </is>
      </c>
      <c r="D606" s="7" t="inlineStr">
        <is>
          <t>B (.815)</t>
        </is>
      </c>
      <c r="E606" s="7" t="n">
        <v>0.5</v>
      </c>
      <c r="F606" s="7" t="n">
        <v>2</v>
      </c>
      <c r="G606" s="8" t="n"/>
      <c r="H606" s="27" t="n"/>
      <c r="I606" s="27" t="n"/>
      <c r="J606" s="8" t="n"/>
      <c r="K606" s="8" t="n"/>
      <c r="L606" s="10" t="n"/>
      <c r="M606" s="8" t="n"/>
      <c r="N606" s="11">
        <f>IF(OR(J606="",H606="",I606=""),"",J606/((I606-H606)*1440))</f>
        <v/>
      </c>
      <c r="O606" s="7" t="n"/>
      <c r="P606" s="7" t="n"/>
      <c r="Q606" s="7" t="n"/>
      <c r="R606" s="12" t="n"/>
      <c r="S606" s="13">
        <f>IF(OR(R606="",J606=""),"",R606/J606-1)</f>
        <v/>
      </c>
      <c r="T606" s="14">
        <f>IF(OR(L606="",R606="",J606=""),"",SQRT(4+(L606^2-4)*(R606/J606)^2))</f>
        <v/>
      </c>
      <c r="U606" s="7" t="n"/>
      <c r="V606" s="7" t="n"/>
    </row>
    <row r="607">
      <c r="A607" s="7" t="inlineStr">
        <is>
          <t>B-1-0.5-i3</t>
        </is>
      </c>
      <c r="B607" s="7" t="inlineStr">
        <is>
          <t>1</t>
        </is>
      </c>
      <c r="C607" s="7" t="inlineStr">
        <is>
          <t>B</t>
        </is>
      </c>
      <c r="D607" s="7" t="inlineStr">
        <is>
          <t>B (.815)</t>
        </is>
      </c>
      <c r="E607" s="7" t="n">
        <v>0.5</v>
      </c>
      <c r="F607" s="7" t="n">
        <v>3</v>
      </c>
      <c r="G607" s="8" t="n"/>
      <c r="H607" s="27" t="n"/>
      <c r="I607" s="27" t="n"/>
      <c r="J607" s="8" t="n"/>
      <c r="K607" s="8" t="n"/>
      <c r="L607" s="10" t="n"/>
      <c r="M607" s="8" t="n"/>
      <c r="N607" s="11">
        <f>IF(OR(J607="",H607="",I607=""),"",J607/((I607-H607)*1440))</f>
        <v/>
      </c>
      <c r="O607" s="7" t="n"/>
      <c r="P607" s="7" t="n"/>
      <c r="Q607" s="7" t="n"/>
      <c r="R607" s="12" t="n"/>
      <c r="S607" s="13">
        <f>IF(OR(R607="",J607=""),"",R607/J607-1)</f>
        <v/>
      </c>
      <c r="T607" s="14">
        <f>IF(OR(L607="",R607="",J607=""),"",SQRT(4+(L607^2-4)*(R607/J607)^2))</f>
        <v/>
      </c>
      <c r="U607" s="7" t="n"/>
      <c r="V607" s="7" t="n"/>
    </row>
    <row r="608">
      <c r="A608" s="7" t="inlineStr">
        <is>
          <t>B-1-1-i1</t>
        </is>
      </c>
      <c r="B608" s="7" t="inlineStr">
        <is>
          <t>1</t>
        </is>
      </c>
      <c r="C608" s="7" t="inlineStr">
        <is>
          <t>B</t>
        </is>
      </c>
      <c r="D608" s="7" t="inlineStr">
        <is>
          <t>B (.815)</t>
        </is>
      </c>
      <c r="E608" s="7" t="n">
        <v>1</v>
      </c>
      <c r="F608" s="7" t="n">
        <v>1</v>
      </c>
      <c r="G608" s="8" t="n"/>
      <c r="H608" s="27" t="n"/>
      <c r="I608" s="27" t="n"/>
      <c r="J608" s="8" t="n"/>
      <c r="K608" s="8" t="n"/>
      <c r="L608" s="10" t="n"/>
      <c r="M608" s="8" t="n"/>
      <c r="N608" s="11">
        <f>IF(OR(J608="",H608="",I608=""),"",J608/((I608-H608)*1440))</f>
        <v/>
      </c>
      <c r="O608" s="7" t="n"/>
      <c r="P608" s="7" t="n"/>
      <c r="Q608" s="7" t="n"/>
      <c r="R608" s="12" t="n"/>
      <c r="S608" s="13">
        <f>IF(OR(R608="",J608=""),"",R608/J608-1)</f>
        <v/>
      </c>
      <c r="T608" s="14">
        <f>IF(OR(L608="",R608="",J608=""),"",SQRT(4+(L608^2-4)*(R608/J608)^2))</f>
        <v/>
      </c>
      <c r="U608" s="7" t="n"/>
      <c r="V608" s="7" t="n"/>
    </row>
    <row r="609">
      <c r="A609" s="7" t="inlineStr">
        <is>
          <t>B-1-1-i2</t>
        </is>
      </c>
      <c r="B609" s="7" t="inlineStr">
        <is>
          <t>1</t>
        </is>
      </c>
      <c r="C609" s="7" t="inlineStr">
        <is>
          <t>B</t>
        </is>
      </c>
      <c r="D609" s="7" t="inlineStr">
        <is>
          <t>B (.815)</t>
        </is>
      </c>
      <c r="E609" s="7" t="n">
        <v>1</v>
      </c>
      <c r="F609" s="7" t="n">
        <v>2</v>
      </c>
      <c r="G609" s="8" t="n"/>
      <c r="H609" s="27" t="n"/>
      <c r="I609" s="27" t="n"/>
      <c r="J609" s="8" t="n"/>
      <c r="K609" s="8" t="n"/>
      <c r="L609" s="10" t="n"/>
      <c r="M609" s="8" t="n"/>
      <c r="N609" s="11">
        <f>IF(OR(J609="",H609="",I609=""),"",J609/((I609-H609)*1440))</f>
        <v/>
      </c>
      <c r="O609" s="7" t="n"/>
      <c r="P609" s="7" t="n"/>
      <c r="Q609" s="7" t="n"/>
      <c r="R609" s="12" t="n"/>
      <c r="S609" s="13">
        <f>IF(OR(R609="",J609=""),"",R609/J609-1)</f>
        <v/>
      </c>
      <c r="T609" s="14">
        <f>IF(OR(L609="",R609="",J609=""),"",SQRT(4+(L609^2-4)*(R609/J609)^2))</f>
        <v/>
      </c>
      <c r="U609" s="7" t="n"/>
      <c r="V609" s="7" t="n"/>
    </row>
    <row r="610">
      <c r="A610" s="7" t="inlineStr">
        <is>
          <t>B-1-1-i3</t>
        </is>
      </c>
      <c r="B610" s="7" t="inlineStr">
        <is>
          <t>1</t>
        </is>
      </c>
      <c r="C610" s="7" t="inlineStr">
        <is>
          <t>B</t>
        </is>
      </c>
      <c r="D610" s="7" t="inlineStr">
        <is>
          <t>B (.815)</t>
        </is>
      </c>
      <c r="E610" s="7" t="n">
        <v>1</v>
      </c>
      <c r="F610" s="7" t="n">
        <v>3</v>
      </c>
      <c r="G610" s="8" t="n"/>
      <c r="H610" s="27" t="n"/>
      <c r="I610" s="27" t="n"/>
      <c r="J610" s="8" t="n"/>
      <c r="K610" s="8" t="n"/>
      <c r="L610" s="10" t="n"/>
      <c r="M610" s="8" t="n"/>
      <c r="N610" s="11">
        <f>IF(OR(J610="",H610="",I610=""),"",J610/((I610-H610)*1440))</f>
        <v/>
      </c>
      <c r="O610" s="7" t="n"/>
      <c r="P610" s="7" t="n"/>
      <c r="Q610" s="7" t="n"/>
      <c r="R610" s="12" t="n"/>
      <c r="S610" s="13">
        <f>IF(OR(R610="",J610=""),"",R610/J610-1)</f>
        <v/>
      </c>
      <c r="T610" s="14">
        <f>IF(OR(L610="",R610="",J610=""),"",SQRT(4+(L610^2-4)*(R610/J610)^2))</f>
        <v/>
      </c>
      <c r="U610" s="7" t="n"/>
      <c r="V610" s="7" t="n"/>
    </row>
    <row r="611">
      <c r="A611" s="7" t="inlineStr">
        <is>
          <t>B-1-3-i1</t>
        </is>
      </c>
      <c r="B611" s="7" t="inlineStr">
        <is>
          <t>1</t>
        </is>
      </c>
      <c r="C611" s="7" t="inlineStr">
        <is>
          <t>B</t>
        </is>
      </c>
      <c r="D611" s="7" t="inlineStr">
        <is>
          <t>B (.815)</t>
        </is>
      </c>
      <c r="E611" s="7" t="n">
        <v>3</v>
      </c>
      <c r="F611" s="7" t="n">
        <v>1</v>
      </c>
      <c r="G611" s="8" t="n"/>
      <c r="H611" s="27" t="n"/>
      <c r="I611" s="27" t="n"/>
      <c r="J611" s="8" t="n"/>
      <c r="K611" s="8" t="n"/>
      <c r="L611" s="10" t="n"/>
      <c r="M611" s="8" t="n"/>
      <c r="N611" s="11">
        <f>IF(OR(J611="",H611="",I611=""),"",J611/((I611-H611)*1440))</f>
        <v/>
      </c>
      <c r="O611" s="7" t="n"/>
      <c r="P611" s="7" t="n"/>
      <c r="Q611" s="7" t="n"/>
      <c r="R611" s="12" t="n"/>
      <c r="S611" s="13">
        <f>IF(OR(R611="",J611=""),"",R611/J611-1)</f>
        <v/>
      </c>
      <c r="T611" s="14">
        <f>IF(OR(L611="",R611="",J611=""),"",SQRT(4+(L611^2-4)*(R611/J611)^2))</f>
        <v/>
      </c>
      <c r="U611" s="7" t="n"/>
      <c r="V611" s="7" t="n"/>
    </row>
    <row r="612">
      <c r="A612" s="7" t="inlineStr">
        <is>
          <t>B-1-3-i2</t>
        </is>
      </c>
      <c r="B612" s="7" t="inlineStr">
        <is>
          <t>1</t>
        </is>
      </c>
      <c r="C612" s="7" t="inlineStr">
        <is>
          <t>B</t>
        </is>
      </c>
      <c r="D612" s="7" t="inlineStr">
        <is>
          <t>B (.815)</t>
        </is>
      </c>
      <c r="E612" s="7" t="n">
        <v>3</v>
      </c>
      <c r="F612" s="7" t="n">
        <v>2</v>
      </c>
      <c r="G612" s="8" t="n"/>
      <c r="H612" s="27" t="n"/>
      <c r="I612" s="27" t="n"/>
      <c r="J612" s="8" t="n"/>
      <c r="K612" s="8" t="n"/>
      <c r="L612" s="10" t="n"/>
      <c r="M612" s="8" t="n"/>
      <c r="N612" s="11">
        <f>IF(OR(J612="",H612="",I612=""),"",J612/((I612-H612)*1440))</f>
        <v/>
      </c>
      <c r="O612" s="7" t="n"/>
      <c r="P612" s="7" t="n"/>
      <c r="Q612" s="7" t="n"/>
      <c r="R612" s="12" t="n"/>
      <c r="S612" s="13">
        <f>IF(OR(R612="",J612=""),"",R612/J612-1)</f>
        <v/>
      </c>
      <c r="T612" s="14">
        <f>IF(OR(L612="",R612="",J612=""),"",SQRT(4+(L612^2-4)*(R612/J612)^2))</f>
        <v/>
      </c>
      <c r="U612" s="7" t="n"/>
      <c r="V612" s="7" t="n"/>
    </row>
    <row r="613">
      <c r="A613" s="7" t="inlineStr">
        <is>
          <t>B-1-3-i3</t>
        </is>
      </c>
      <c r="B613" s="7" t="inlineStr">
        <is>
          <t>1</t>
        </is>
      </c>
      <c r="C613" s="7" t="inlineStr">
        <is>
          <t>B</t>
        </is>
      </c>
      <c r="D613" s="7" t="inlineStr">
        <is>
          <t>B (.815)</t>
        </is>
      </c>
      <c r="E613" s="7" t="n">
        <v>3</v>
      </c>
      <c r="F613" s="7" t="n">
        <v>3</v>
      </c>
      <c r="G613" s="8" t="n"/>
      <c r="H613" s="27" t="n"/>
      <c r="I613" s="27" t="n"/>
      <c r="J613" s="8" t="n"/>
      <c r="K613" s="8" t="n"/>
      <c r="L613" s="10" t="n"/>
      <c r="M613" s="8" t="n"/>
      <c r="N613" s="11">
        <f>IF(OR(J613="",H613="",I613=""),"",J613/((I613-H613)*1440))</f>
        <v/>
      </c>
      <c r="O613" s="7" t="n"/>
      <c r="P613" s="7" t="n"/>
      <c r="Q613" s="7" t="n"/>
      <c r="R613" s="12" t="n"/>
      <c r="S613" s="13">
        <f>IF(OR(R613="",J613=""),"",R613/J613-1)</f>
        <v/>
      </c>
      <c r="T613" s="14">
        <f>IF(OR(L613="",R613="",J613=""),"",SQRT(4+(L613^2-4)*(R613/J613)^2))</f>
        <v/>
      </c>
      <c r="U613" s="7" t="n"/>
      <c r="V613" s="7" t="n"/>
    </row>
    <row r="614">
      <c r="A614" s="7" t="inlineStr">
        <is>
          <t>B-1-5-i1</t>
        </is>
      </c>
      <c r="B614" s="7" t="inlineStr">
        <is>
          <t>1</t>
        </is>
      </c>
      <c r="C614" s="7" t="inlineStr">
        <is>
          <t>B</t>
        </is>
      </c>
      <c r="D614" s="7" t="inlineStr">
        <is>
          <t>B (.815)</t>
        </is>
      </c>
      <c r="E614" s="7" t="n">
        <v>5</v>
      </c>
      <c r="F614" s="7" t="n">
        <v>1</v>
      </c>
      <c r="G614" s="8" t="n"/>
      <c r="H614" s="27" t="n"/>
      <c r="I614" s="27" t="n"/>
      <c r="J614" s="8" t="n"/>
      <c r="K614" s="8" t="n"/>
      <c r="L614" s="10" t="n"/>
      <c r="M614" s="8" t="n"/>
      <c r="N614" s="11">
        <f>IF(OR(J614="",H614="",I614=""),"",J614/((I614-H614)*1440))</f>
        <v/>
      </c>
      <c r="O614" s="7" t="n"/>
      <c r="P614" s="7" t="n"/>
      <c r="Q614" s="7" t="n"/>
      <c r="R614" s="12" t="n"/>
      <c r="S614" s="13">
        <f>IF(OR(R614="",J614=""),"",R614/J614-1)</f>
        <v/>
      </c>
      <c r="T614" s="14">
        <f>IF(OR(L614="",R614="",J614=""),"",SQRT(4+(L614^2-4)*(R614/J614)^2))</f>
        <v/>
      </c>
      <c r="U614" s="7" t="n"/>
      <c r="V614" s="7" t="n"/>
    </row>
    <row r="615">
      <c r="A615" s="7" t="inlineStr">
        <is>
          <t>B-1-5-i2</t>
        </is>
      </c>
      <c r="B615" s="7" t="inlineStr">
        <is>
          <t>1</t>
        </is>
      </c>
      <c r="C615" s="7" t="inlineStr">
        <is>
          <t>B</t>
        </is>
      </c>
      <c r="D615" s="7" t="inlineStr">
        <is>
          <t>B (.815)</t>
        </is>
      </c>
      <c r="E615" s="7" t="n">
        <v>5</v>
      </c>
      <c r="F615" s="7" t="n">
        <v>2</v>
      </c>
      <c r="G615" s="8" t="n"/>
      <c r="H615" s="27" t="n"/>
      <c r="I615" s="27" t="n"/>
      <c r="J615" s="8" t="n"/>
      <c r="K615" s="8" t="n"/>
      <c r="L615" s="10" t="n"/>
      <c r="M615" s="8" t="n"/>
      <c r="N615" s="11">
        <f>IF(OR(J615="",H615="",I615=""),"",J615/((I615-H615)*1440))</f>
        <v/>
      </c>
      <c r="O615" s="7" t="n"/>
      <c r="P615" s="7" t="n"/>
      <c r="Q615" s="7" t="n"/>
      <c r="R615" s="12" t="n"/>
      <c r="S615" s="13">
        <f>IF(OR(R615="",J615=""),"",R615/J615-1)</f>
        <v/>
      </c>
      <c r="T615" s="14">
        <f>IF(OR(L615="",R615="",J615=""),"",SQRT(4+(L615^2-4)*(R615/J615)^2))</f>
        <v/>
      </c>
      <c r="U615" s="7" t="n"/>
      <c r="V615" s="7" t="n"/>
    </row>
    <row r="616">
      <c r="A616" s="7" t="inlineStr">
        <is>
          <t>B-1-5-i3</t>
        </is>
      </c>
      <c r="B616" s="7" t="inlineStr">
        <is>
          <t>1</t>
        </is>
      </c>
      <c r="C616" s="7" t="inlineStr">
        <is>
          <t>B</t>
        </is>
      </c>
      <c r="D616" s="7" t="inlineStr">
        <is>
          <t>B (.815)</t>
        </is>
      </c>
      <c r="E616" s="7" t="n">
        <v>5</v>
      </c>
      <c r="F616" s="7" t="n">
        <v>3</v>
      </c>
      <c r="G616" s="8" t="n"/>
      <c r="H616" s="27" t="n"/>
      <c r="I616" s="27" t="n"/>
      <c r="J616" s="8" t="n"/>
      <c r="K616" s="8" t="n"/>
      <c r="L616" s="10" t="n"/>
      <c r="M616" s="8" t="n"/>
      <c r="N616" s="11">
        <f>IF(OR(J616="",H616="",I616=""),"",J616/((I616-H616)*1440))</f>
        <v/>
      </c>
      <c r="O616" s="7" t="n"/>
      <c r="P616" s="7" t="n"/>
      <c r="Q616" s="7" t="n"/>
      <c r="R616" s="12" t="n"/>
      <c r="S616" s="13">
        <f>IF(OR(R616="",J616=""),"",R616/J616-1)</f>
        <v/>
      </c>
      <c r="T616" s="14">
        <f>IF(OR(L616="",R616="",J616=""),"",SQRT(4+(L616^2-4)*(R616/J616)^2))</f>
        <v/>
      </c>
      <c r="U616" s="7" t="n"/>
      <c r="V616" s="7" t="n"/>
    </row>
    <row r="617">
      <c r="A617" s="7" t="inlineStr">
        <is>
          <t>B-1-10-i1</t>
        </is>
      </c>
      <c r="B617" s="7" t="inlineStr">
        <is>
          <t>1</t>
        </is>
      </c>
      <c r="C617" s="7" t="inlineStr">
        <is>
          <t>B</t>
        </is>
      </c>
      <c r="D617" s="7" t="inlineStr">
        <is>
          <t>B (.815)</t>
        </is>
      </c>
      <c r="E617" s="7" t="n">
        <v>10</v>
      </c>
      <c r="F617" s="7" t="n">
        <v>1</v>
      </c>
      <c r="G617" s="8" t="n"/>
      <c r="H617" s="27" t="n"/>
      <c r="I617" s="27" t="n"/>
      <c r="J617" s="8" t="n"/>
      <c r="K617" s="8" t="n"/>
      <c r="L617" s="10" t="n"/>
      <c r="M617" s="8" t="n"/>
      <c r="N617" s="11">
        <f>IF(OR(J617="",H617="",I617=""),"",J617/((I617-H617)*1440))</f>
        <v/>
      </c>
      <c r="O617" s="7" t="n"/>
      <c r="P617" s="7" t="n"/>
      <c r="Q617" s="7" t="n"/>
      <c r="R617" s="12" t="n"/>
      <c r="S617" s="13">
        <f>IF(OR(R617="",J617=""),"",R617/J617-1)</f>
        <v/>
      </c>
      <c r="T617" s="14">
        <f>IF(OR(L617="",R617="",J617=""),"",SQRT(4+(L617^2-4)*(R617/J617)^2))</f>
        <v/>
      </c>
      <c r="U617" s="7" t="n"/>
      <c r="V617" s="7" t="n"/>
    </row>
    <row r="618">
      <c r="A618" s="7" t="inlineStr">
        <is>
          <t>B-1-10-i2</t>
        </is>
      </c>
      <c r="B618" s="7" t="inlineStr">
        <is>
          <t>1</t>
        </is>
      </c>
      <c r="C618" s="7" t="inlineStr">
        <is>
          <t>B</t>
        </is>
      </c>
      <c r="D618" s="7" t="inlineStr">
        <is>
          <t>B (.815)</t>
        </is>
      </c>
      <c r="E618" s="7" t="n">
        <v>10</v>
      </c>
      <c r="F618" s="7" t="n">
        <v>2</v>
      </c>
      <c r="G618" s="8" t="n"/>
      <c r="H618" s="27" t="n"/>
      <c r="I618" s="27" t="n"/>
      <c r="J618" s="8" t="n"/>
      <c r="K618" s="8" t="n"/>
      <c r="L618" s="10" t="n"/>
      <c r="M618" s="8" t="n"/>
      <c r="N618" s="11">
        <f>IF(OR(J618="",H618="",I618=""),"",J618/((I618-H618)*1440))</f>
        <v/>
      </c>
      <c r="O618" s="7" t="n"/>
      <c r="P618" s="7" t="n"/>
      <c r="Q618" s="7" t="n"/>
      <c r="R618" s="12" t="n"/>
      <c r="S618" s="13">
        <f>IF(OR(R618="",J618=""),"",R618/J618-1)</f>
        <v/>
      </c>
      <c r="T618" s="14">
        <f>IF(OR(L618="",R618="",J618=""),"",SQRT(4+(L618^2-4)*(R618/J618)^2))</f>
        <v/>
      </c>
      <c r="U618" s="7" t="n"/>
      <c r="V618" s="7" t="n"/>
    </row>
    <row r="619">
      <c r="A619" s="7" t="inlineStr">
        <is>
          <t>B-1-10-i3</t>
        </is>
      </c>
      <c r="B619" s="7" t="inlineStr">
        <is>
          <t>1</t>
        </is>
      </c>
      <c r="C619" s="7" t="inlineStr">
        <is>
          <t>B</t>
        </is>
      </c>
      <c r="D619" s="7" t="inlineStr">
        <is>
          <t>B (.815)</t>
        </is>
      </c>
      <c r="E619" s="7" t="n">
        <v>10</v>
      </c>
      <c r="F619" s="7" t="n">
        <v>3</v>
      </c>
      <c r="G619" s="8" t="n"/>
      <c r="H619" s="27" t="n"/>
      <c r="I619" s="27" t="n"/>
      <c r="J619" s="8" t="n"/>
      <c r="K619" s="8" t="n"/>
      <c r="L619" s="10" t="n"/>
      <c r="M619" s="8" t="n"/>
      <c r="N619" s="11">
        <f>IF(OR(J619="",H619="",I619=""),"",J619/((I619-H619)*1440))</f>
        <v/>
      </c>
      <c r="O619" s="7" t="n"/>
      <c r="P619" s="7" t="n"/>
      <c r="Q619" s="7" t="n"/>
      <c r="R619" s="12" t="n"/>
      <c r="S619" s="13">
        <f>IF(OR(R619="",J619=""),"",R619/J619-1)</f>
        <v/>
      </c>
      <c r="T619" s="14">
        <f>IF(OR(L619="",R619="",J619=""),"",SQRT(4+(L619^2-4)*(R619/J619)^2))</f>
        <v/>
      </c>
      <c r="U619" s="7" t="n"/>
      <c r="V619" s="7" t="n"/>
    </row>
    <row r="620">
      <c r="A620" s="7" t="inlineStr">
        <is>
          <t>b-1-0.5-i1</t>
        </is>
      </c>
      <c r="B620" s="7" t="inlineStr">
        <is>
          <t>1</t>
        </is>
      </c>
      <c r="C620" s="7" t="inlineStr">
        <is>
          <t>b</t>
        </is>
      </c>
      <c r="D620" s="7" t="inlineStr">
        <is>
          <t>b (.825)</t>
        </is>
      </c>
      <c r="E620" s="7" t="n">
        <v>0.5</v>
      </c>
      <c r="F620" s="7" t="n">
        <v>1</v>
      </c>
      <c r="G620" s="8" t="n"/>
      <c r="H620" s="27" t="n"/>
      <c r="I620" s="27" t="n"/>
      <c r="J620" s="8" t="n"/>
      <c r="K620" s="8" t="n"/>
      <c r="L620" s="10" t="n"/>
      <c r="M620" s="8" t="n"/>
      <c r="N620" s="11">
        <f>IF(OR(J620="",H620="",I620=""),"",J620/((I620-H620)*1440))</f>
        <v/>
      </c>
      <c r="O620" s="7" t="n"/>
      <c r="P620" s="7" t="n"/>
      <c r="Q620" s="7" t="n"/>
      <c r="R620" s="12" t="n"/>
      <c r="S620" s="13">
        <f>IF(OR(R620="",J620=""),"",R620/J620-1)</f>
        <v/>
      </c>
      <c r="T620" s="14">
        <f>IF(OR(L620="",R620="",J620=""),"",SQRT(4+(L620^2-4)*(R620/J620)^2))</f>
        <v/>
      </c>
      <c r="U620" s="7" t="n"/>
      <c r="V620" s="7" t="n"/>
    </row>
    <row r="621">
      <c r="A621" s="7" t="inlineStr">
        <is>
          <t>b-1-0.5-i2</t>
        </is>
      </c>
      <c r="B621" s="7" t="inlineStr">
        <is>
          <t>1</t>
        </is>
      </c>
      <c r="C621" s="7" t="inlineStr">
        <is>
          <t>b</t>
        </is>
      </c>
      <c r="D621" s="7" t="inlineStr">
        <is>
          <t>b (.825)</t>
        </is>
      </c>
      <c r="E621" s="7" t="n">
        <v>0.5</v>
      </c>
      <c r="F621" s="7" t="n">
        <v>2</v>
      </c>
      <c r="G621" s="8" t="n"/>
      <c r="H621" s="27" t="n"/>
      <c r="I621" s="27" t="n"/>
      <c r="J621" s="8" t="n"/>
      <c r="K621" s="8" t="n"/>
      <c r="L621" s="10" t="n"/>
      <c r="M621" s="8" t="n"/>
      <c r="N621" s="11">
        <f>IF(OR(J621="",H621="",I621=""),"",J621/((I621-H621)*1440))</f>
        <v/>
      </c>
      <c r="O621" s="7" t="n"/>
      <c r="P621" s="7" t="n"/>
      <c r="Q621" s="7" t="n"/>
      <c r="R621" s="12" t="n"/>
      <c r="S621" s="13">
        <f>IF(OR(R621="",J621=""),"",R621/J621-1)</f>
        <v/>
      </c>
      <c r="T621" s="14">
        <f>IF(OR(L621="",R621="",J621=""),"",SQRT(4+(L621^2-4)*(R621/J621)^2))</f>
        <v/>
      </c>
      <c r="U621" s="7" t="n"/>
      <c r="V621" s="7" t="n"/>
    </row>
    <row r="622">
      <c r="A622" s="7" t="inlineStr">
        <is>
          <t>b-1-0.5-i3</t>
        </is>
      </c>
      <c r="B622" s="7" t="inlineStr">
        <is>
          <t>1</t>
        </is>
      </c>
      <c r="C622" s="7" t="inlineStr">
        <is>
          <t>b</t>
        </is>
      </c>
      <c r="D622" s="7" t="inlineStr">
        <is>
          <t>b (.825)</t>
        </is>
      </c>
      <c r="E622" s="7" t="n">
        <v>0.5</v>
      </c>
      <c r="F622" s="7" t="n">
        <v>3</v>
      </c>
      <c r="G622" s="8" t="n"/>
      <c r="H622" s="27" t="n"/>
      <c r="I622" s="27" t="n"/>
      <c r="J622" s="8" t="n"/>
      <c r="K622" s="8" t="n"/>
      <c r="L622" s="10" t="n"/>
      <c r="M622" s="8" t="n"/>
      <c r="N622" s="11">
        <f>IF(OR(J622="",H622="",I622=""),"",J622/((I622-H622)*1440))</f>
        <v/>
      </c>
      <c r="O622" s="7" t="n"/>
      <c r="P622" s="7" t="n"/>
      <c r="Q622" s="7" t="n"/>
      <c r="R622" s="12" t="n"/>
      <c r="S622" s="13">
        <f>IF(OR(R622="",J622=""),"",R622/J622-1)</f>
        <v/>
      </c>
      <c r="T622" s="14">
        <f>IF(OR(L622="",R622="",J622=""),"",SQRT(4+(L622^2-4)*(R622/J622)^2))</f>
        <v/>
      </c>
      <c r="U622" s="7" t="n"/>
      <c r="V622" s="7" t="n"/>
    </row>
    <row r="623">
      <c r="A623" s="7" t="inlineStr">
        <is>
          <t>b-1-1-i1</t>
        </is>
      </c>
      <c r="B623" s="7" t="inlineStr">
        <is>
          <t>1</t>
        </is>
      </c>
      <c r="C623" s="7" t="inlineStr">
        <is>
          <t>b</t>
        </is>
      </c>
      <c r="D623" s="7" t="inlineStr">
        <is>
          <t>b (.825)</t>
        </is>
      </c>
      <c r="E623" s="7" t="n">
        <v>1</v>
      </c>
      <c r="F623" s="7" t="n">
        <v>1</v>
      </c>
      <c r="G623" s="8" t="n"/>
      <c r="H623" s="27" t="n"/>
      <c r="I623" s="27" t="n"/>
      <c r="J623" s="8" t="n"/>
      <c r="K623" s="8" t="n"/>
      <c r="L623" s="10" t="n"/>
      <c r="M623" s="8" t="n"/>
      <c r="N623" s="11">
        <f>IF(OR(J623="",H623="",I623=""),"",J623/((I623-H623)*1440))</f>
        <v/>
      </c>
      <c r="O623" s="7" t="n"/>
      <c r="P623" s="7" t="n"/>
      <c r="Q623" s="7" t="n"/>
      <c r="R623" s="12" t="n"/>
      <c r="S623" s="13">
        <f>IF(OR(R623="",J623=""),"",R623/J623-1)</f>
        <v/>
      </c>
      <c r="T623" s="14">
        <f>IF(OR(L623="",R623="",J623=""),"",SQRT(4+(L623^2-4)*(R623/J623)^2))</f>
        <v/>
      </c>
      <c r="U623" s="7" t="n"/>
      <c r="V623" s="7" t="n"/>
    </row>
    <row r="624">
      <c r="A624" s="7" t="inlineStr">
        <is>
          <t>b-1-1-i2</t>
        </is>
      </c>
      <c r="B624" s="7" t="inlineStr">
        <is>
          <t>1</t>
        </is>
      </c>
      <c r="C624" s="7" t="inlineStr">
        <is>
          <t>b</t>
        </is>
      </c>
      <c r="D624" s="7" t="inlineStr">
        <is>
          <t>b (.825)</t>
        </is>
      </c>
      <c r="E624" s="7" t="n">
        <v>1</v>
      </c>
      <c r="F624" s="7" t="n">
        <v>2</v>
      </c>
      <c r="G624" s="8" t="n"/>
      <c r="H624" s="27" t="n"/>
      <c r="I624" s="27" t="n"/>
      <c r="J624" s="8" t="n"/>
      <c r="K624" s="8" t="n"/>
      <c r="L624" s="10" t="n"/>
      <c r="M624" s="8" t="n"/>
      <c r="N624" s="11">
        <f>IF(OR(J624="",H624="",I624=""),"",J624/((I624-H624)*1440))</f>
        <v/>
      </c>
      <c r="O624" s="7" t="n"/>
      <c r="P624" s="7" t="n"/>
      <c r="Q624" s="7" t="n"/>
      <c r="R624" s="12" t="n"/>
      <c r="S624" s="13">
        <f>IF(OR(R624="",J624=""),"",R624/J624-1)</f>
        <v/>
      </c>
      <c r="T624" s="14">
        <f>IF(OR(L624="",R624="",J624=""),"",SQRT(4+(L624^2-4)*(R624/J624)^2))</f>
        <v/>
      </c>
      <c r="U624" s="7" t="n"/>
      <c r="V624" s="7" t="n"/>
    </row>
    <row r="625">
      <c r="A625" s="7" t="inlineStr">
        <is>
          <t>b-1-1-i3</t>
        </is>
      </c>
      <c r="B625" s="7" t="inlineStr">
        <is>
          <t>1</t>
        </is>
      </c>
      <c r="C625" s="7" t="inlineStr">
        <is>
          <t>b</t>
        </is>
      </c>
      <c r="D625" s="7" t="inlineStr">
        <is>
          <t>b (.825)</t>
        </is>
      </c>
      <c r="E625" s="7" t="n">
        <v>1</v>
      </c>
      <c r="F625" s="7" t="n">
        <v>3</v>
      </c>
      <c r="G625" s="8" t="n"/>
      <c r="H625" s="27" t="n"/>
      <c r="I625" s="27" t="n"/>
      <c r="J625" s="8" t="n"/>
      <c r="K625" s="8" t="n"/>
      <c r="L625" s="10" t="n"/>
      <c r="M625" s="8" t="n"/>
      <c r="N625" s="11">
        <f>IF(OR(J625="",H625="",I625=""),"",J625/((I625-H625)*1440))</f>
        <v/>
      </c>
      <c r="O625" s="7" t="n"/>
      <c r="P625" s="7" t="n"/>
      <c r="Q625" s="7" t="n"/>
      <c r="R625" s="12" t="n"/>
      <c r="S625" s="13">
        <f>IF(OR(R625="",J625=""),"",R625/J625-1)</f>
        <v/>
      </c>
      <c r="T625" s="14">
        <f>IF(OR(L625="",R625="",J625=""),"",SQRT(4+(L625^2-4)*(R625/J625)^2))</f>
        <v/>
      </c>
      <c r="U625" s="7" t="n"/>
      <c r="V625" s="7" t="n"/>
    </row>
    <row r="626">
      <c r="A626" s="7" t="inlineStr">
        <is>
          <t>b-1-3-i1</t>
        </is>
      </c>
      <c r="B626" s="7" t="inlineStr">
        <is>
          <t>1</t>
        </is>
      </c>
      <c r="C626" s="7" t="inlineStr">
        <is>
          <t>b</t>
        </is>
      </c>
      <c r="D626" s="7" t="inlineStr">
        <is>
          <t>b (.825)</t>
        </is>
      </c>
      <c r="E626" s="7" t="n">
        <v>3</v>
      </c>
      <c r="F626" s="7" t="n">
        <v>1</v>
      </c>
      <c r="G626" s="8" t="n"/>
      <c r="H626" s="27" t="n"/>
      <c r="I626" s="27" t="n"/>
      <c r="J626" s="8" t="n"/>
      <c r="K626" s="8" t="n"/>
      <c r="L626" s="10" t="n"/>
      <c r="M626" s="8" t="n"/>
      <c r="N626" s="11">
        <f>IF(OR(J626="",H626="",I626=""),"",J626/((I626-H626)*1440))</f>
        <v/>
      </c>
      <c r="O626" s="7" t="n"/>
      <c r="P626" s="7" t="n"/>
      <c r="Q626" s="7" t="n"/>
      <c r="R626" s="12" t="n"/>
      <c r="S626" s="13">
        <f>IF(OR(R626="",J626=""),"",R626/J626-1)</f>
        <v/>
      </c>
      <c r="T626" s="14">
        <f>IF(OR(L626="",R626="",J626=""),"",SQRT(4+(L626^2-4)*(R626/J626)^2))</f>
        <v/>
      </c>
      <c r="U626" s="7" t="n"/>
      <c r="V626" s="7" t="n"/>
    </row>
    <row r="627">
      <c r="A627" s="7" t="inlineStr">
        <is>
          <t>b-1-3-i2</t>
        </is>
      </c>
      <c r="B627" s="7" t="inlineStr">
        <is>
          <t>1</t>
        </is>
      </c>
      <c r="C627" s="7" t="inlineStr">
        <is>
          <t>b</t>
        </is>
      </c>
      <c r="D627" s="7" t="inlineStr">
        <is>
          <t>b (.825)</t>
        </is>
      </c>
      <c r="E627" s="7" t="n">
        <v>3</v>
      </c>
      <c r="F627" s="7" t="n">
        <v>2</v>
      </c>
      <c r="G627" s="8" t="n"/>
      <c r="H627" s="27" t="n"/>
      <c r="I627" s="27" t="n"/>
      <c r="J627" s="8" t="n"/>
      <c r="K627" s="8" t="n"/>
      <c r="L627" s="10" t="n"/>
      <c r="M627" s="8" t="n"/>
      <c r="N627" s="11">
        <f>IF(OR(J627="",H627="",I627=""),"",J627/((I627-H627)*1440))</f>
        <v/>
      </c>
      <c r="O627" s="7" t="n"/>
      <c r="P627" s="7" t="n"/>
      <c r="Q627" s="7" t="n"/>
      <c r="R627" s="12" t="n"/>
      <c r="S627" s="13">
        <f>IF(OR(R627="",J627=""),"",R627/J627-1)</f>
        <v/>
      </c>
      <c r="T627" s="14">
        <f>IF(OR(L627="",R627="",J627=""),"",SQRT(4+(L627^2-4)*(R627/J627)^2))</f>
        <v/>
      </c>
      <c r="U627" s="7" t="n"/>
      <c r="V627" s="7" t="n"/>
    </row>
    <row r="628">
      <c r="A628" s="7" t="inlineStr">
        <is>
          <t>b-1-3-i3</t>
        </is>
      </c>
      <c r="B628" s="7" t="inlineStr">
        <is>
          <t>1</t>
        </is>
      </c>
      <c r="C628" s="7" t="inlineStr">
        <is>
          <t>b</t>
        </is>
      </c>
      <c r="D628" s="7" t="inlineStr">
        <is>
          <t>b (.825)</t>
        </is>
      </c>
      <c r="E628" s="7" t="n">
        <v>3</v>
      </c>
      <c r="F628" s="7" t="n">
        <v>3</v>
      </c>
      <c r="G628" s="8" t="n"/>
      <c r="H628" s="27" t="n"/>
      <c r="I628" s="27" t="n"/>
      <c r="J628" s="8" t="n"/>
      <c r="K628" s="8" t="n"/>
      <c r="L628" s="10" t="n"/>
      <c r="M628" s="8" t="n"/>
      <c r="N628" s="11">
        <f>IF(OR(J628="",H628="",I628=""),"",J628/((I628-H628)*1440))</f>
        <v/>
      </c>
      <c r="O628" s="7" t="n"/>
      <c r="P628" s="7" t="n"/>
      <c r="Q628" s="7" t="n"/>
      <c r="R628" s="12" t="n"/>
      <c r="S628" s="13">
        <f>IF(OR(R628="",J628=""),"",R628/J628-1)</f>
        <v/>
      </c>
      <c r="T628" s="14">
        <f>IF(OR(L628="",R628="",J628=""),"",SQRT(4+(L628^2-4)*(R628/J628)^2))</f>
        <v/>
      </c>
      <c r="U628" s="7" t="n"/>
      <c r="V628" s="7" t="n"/>
    </row>
    <row r="629">
      <c r="A629" s="7" t="inlineStr">
        <is>
          <t>b-1-5-i1</t>
        </is>
      </c>
      <c r="B629" s="7" t="inlineStr">
        <is>
          <t>1</t>
        </is>
      </c>
      <c r="C629" s="7" t="inlineStr">
        <is>
          <t>b</t>
        </is>
      </c>
      <c r="D629" s="7" t="inlineStr">
        <is>
          <t>b (.825)</t>
        </is>
      </c>
      <c r="E629" s="7" t="n">
        <v>5</v>
      </c>
      <c r="F629" s="7" t="n">
        <v>1</v>
      </c>
      <c r="G629" s="8" t="n"/>
      <c r="H629" s="27" t="n"/>
      <c r="I629" s="27" t="n"/>
      <c r="J629" s="8" t="n"/>
      <c r="K629" s="8" t="n"/>
      <c r="L629" s="10" t="n"/>
      <c r="M629" s="8" t="n"/>
      <c r="N629" s="11">
        <f>IF(OR(J629="",H629="",I629=""),"",J629/((I629-H629)*1440))</f>
        <v/>
      </c>
      <c r="O629" s="7" t="n"/>
      <c r="P629" s="7" t="n"/>
      <c r="Q629" s="7" t="n"/>
      <c r="R629" s="12" t="n"/>
      <c r="S629" s="13">
        <f>IF(OR(R629="",J629=""),"",R629/J629-1)</f>
        <v/>
      </c>
      <c r="T629" s="14">
        <f>IF(OR(L629="",R629="",J629=""),"",SQRT(4+(L629^2-4)*(R629/J629)^2))</f>
        <v/>
      </c>
      <c r="U629" s="7" t="n"/>
      <c r="V629" s="7" t="n"/>
    </row>
    <row r="630">
      <c r="A630" s="7" t="inlineStr">
        <is>
          <t>b-1-5-i2</t>
        </is>
      </c>
      <c r="B630" s="7" t="inlineStr">
        <is>
          <t>1</t>
        </is>
      </c>
      <c r="C630" s="7" t="inlineStr">
        <is>
          <t>b</t>
        </is>
      </c>
      <c r="D630" s="7" t="inlineStr">
        <is>
          <t>b (.825)</t>
        </is>
      </c>
      <c r="E630" s="7" t="n">
        <v>5</v>
      </c>
      <c r="F630" s="7" t="n">
        <v>2</v>
      </c>
      <c r="G630" s="8" t="n"/>
      <c r="H630" s="27" t="n"/>
      <c r="I630" s="27" t="n"/>
      <c r="J630" s="8" t="n"/>
      <c r="K630" s="8" t="n"/>
      <c r="L630" s="10" t="n"/>
      <c r="M630" s="8" t="n"/>
      <c r="N630" s="11">
        <f>IF(OR(J630="",H630="",I630=""),"",J630/((I630-H630)*1440))</f>
        <v/>
      </c>
      <c r="O630" s="7" t="n"/>
      <c r="P630" s="7" t="n"/>
      <c r="Q630" s="7" t="n"/>
      <c r="R630" s="12" t="n"/>
      <c r="S630" s="13">
        <f>IF(OR(R630="",J630=""),"",R630/J630-1)</f>
        <v/>
      </c>
      <c r="T630" s="14">
        <f>IF(OR(L630="",R630="",J630=""),"",SQRT(4+(L630^2-4)*(R630/J630)^2))</f>
        <v/>
      </c>
      <c r="U630" s="7" t="n"/>
      <c r="V630" s="7" t="n"/>
    </row>
    <row r="631">
      <c r="A631" s="7" t="inlineStr">
        <is>
          <t>b-1-5-i3</t>
        </is>
      </c>
      <c r="B631" s="7" t="inlineStr">
        <is>
          <t>1</t>
        </is>
      </c>
      <c r="C631" s="7" t="inlineStr">
        <is>
          <t>b</t>
        </is>
      </c>
      <c r="D631" s="7" t="inlineStr">
        <is>
          <t>b (.825)</t>
        </is>
      </c>
      <c r="E631" s="7" t="n">
        <v>5</v>
      </c>
      <c r="F631" s="7" t="n">
        <v>3</v>
      </c>
      <c r="G631" s="8" t="n"/>
      <c r="H631" s="27" t="n"/>
      <c r="I631" s="27" t="n"/>
      <c r="J631" s="8" t="n"/>
      <c r="K631" s="8" t="n"/>
      <c r="L631" s="10" t="n"/>
      <c r="M631" s="8" t="n"/>
      <c r="N631" s="11">
        <f>IF(OR(J631="",H631="",I631=""),"",J631/((I631-H631)*1440))</f>
        <v/>
      </c>
      <c r="O631" s="7" t="n"/>
      <c r="P631" s="7" t="n"/>
      <c r="Q631" s="7" t="n"/>
      <c r="R631" s="12" t="n"/>
      <c r="S631" s="13">
        <f>IF(OR(R631="",J631=""),"",R631/J631-1)</f>
        <v/>
      </c>
      <c r="T631" s="14">
        <f>IF(OR(L631="",R631="",J631=""),"",SQRT(4+(L631^2-4)*(R631/J631)^2))</f>
        <v/>
      </c>
      <c r="U631" s="7" t="n"/>
      <c r="V631" s="7" t="n"/>
    </row>
    <row r="632">
      <c r="A632" s="7" t="inlineStr">
        <is>
          <t>b-1-10-i1</t>
        </is>
      </c>
      <c r="B632" s="7" t="inlineStr">
        <is>
          <t>1</t>
        </is>
      </c>
      <c r="C632" s="7" t="inlineStr">
        <is>
          <t>b</t>
        </is>
      </c>
      <c r="D632" s="7" t="inlineStr">
        <is>
          <t>b (.825)</t>
        </is>
      </c>
      <c r="E632" s="7" t="n">
        <v>10</v>
      </c>
      <c r="F632" s="7" t="n">
        <v>1</v>
      </c>
      <c r="G632" s="8" t="n"/>
      <c r="H632" s="27" t="n"/>
      <c r="I632" s="27" t="n"/>
      <c r="J632" s="8" t="n"/>
      <c r="K632" s="8" t="n"/>
      <c r="L632" s="10" t="n"/>
      <c r="M632" s="8" t="n"/>
      <c r="N632" s="11">
        <f>IF(OR(J632="",H632="",I632=""),"",J632/((I632-H632)*1440))</f>
        <v/>
      </c>
      <c r="O632" s="7" t="n"/>
      <c r="P632" s="7" t="n"/>
      <c r="Q632" s="7" t="n"/>
      <c r="R632" s="12" t="n"/>
      <c r="S632" s="13">
        <f>IF(OR(R632="",J632=""),"",R632/J632-1)</f>
        <v/>
      </c>
      <c r="T632" s="14">
        <f>IF(OR(L632="",R632="",J632=""),"",SQRT(4+(L632^2-4)*(R632/J632)^2))</f>
        <v/>
      </c>
      <c r="U632" s="7" t="n"/>
      <c r="V632" s="7" t="n"/>
    </row>
    <row r="633">
      <c r="A633" s="7" t="inlineStr">
        <is>
          <t>b-1-10-i2</t>
        </is>
      </c>
      <c r="B633" s="7" t="inlineStr">
        <is>
          <t>1</t>
        </is>
      </c>
      <c r="C633" s="7" t="inlineStr">
        <is>
          <t>b</t>
        </is>
      </c>
      <c r="D633" s="7" t="inlineStr">
        <is>
          <t>b (.825)</t>
        </is>
      </c>
      <c r="E633" s="7" t="n">
        <v>10</v>
      </c>
      <c r="F633" s="7" t="n">
        <v>2</v>
      </c>
      <c r="G633" s="8" t="n"/>
      <c r="H633" s="27" t="n"/>
      <c r="I633" s="27" t="n"/>
      <c r="J633" s="8" t="n"/>
      <c r="K633" s="8" t="n"/>
      <c r="L633" s="10" t="n"/>
      <c r="M633" s="8" t="n"/>
      <c r="N633" s="11">
        <f>IF(OR(J633="",H633="",I633=""),"",J633/((I633-H633)*1440))</f>
        <v/>
      </c>
      <c r="O633" s="7" t="n"/>
      <c r="P633" s="7" t="n"/>
      <c r="Q633" s="7" t="n"/>
      <c r="R633" s="12" t="n"/>
      <c r="S633" s="13">
        <f>IF(OR(R633="",J633=""),"",R633/J633-1)</f>
        <v/>
      </c>
      <c r="T633" s="14">
        <f>IF(OR(L633="",R633="",J633=""),"",SQRT(4+(L633^2-4)*(R633/J633)^2))</f>
        <v/>
      </c>
      <c r="U633" s="7" t="n"/>
      <c r="V633" s="7" t="n"/>
    </row>
    <row r="634">
      <c r="A634" s="7" t="inlineStr">
        <is>
          <t>b-1-10-i3</t>
        </is>
      </c>
      <c r="B634" s="7" t="inlineStr">
        <is>
          <t>1</t>
        </is>
      </c>
      <c r="C634" s="7" t="inlineStr">
        <is>
          <t>b</t>
        </is>
      </c>
      <c r="D634" s="7" t="inlineStr">
        <is>
          <t>b (.825)</t>
        </is>
      </c>
      <c r="E634" s="7" t="n">
        <v>10</v>
      </c>
      <c r="F634" s="7" t="n">
        <v>3</v>
      </c>
      <c r="G634" s="8" t="n"/>
      <c r="H634" s="27" t="n"/>
      <c r="I634" s="27" t="n"/>
      <c r="J634" s="8" t="n"/>
      <c r="K634" s="8" t="n"/>
      <c r="L634" s="10" t="n"/>
      <c r="M634" s="8" t="n"/>
      <c r="N634" s="11">
        <f>IF(OR(J634="",H634="",I634=""),"",J634/((I634-H634)*1440))</f>
        <v/>
      </c>
      <c r="O634" s="7" t="n"/>
      <c r="P634" s="7" t="n"/>
      <c r="Q634" s="7" t="n"/>
      <c r="R634" s="12" t="n"/>
      <c r="S634" s="13">
        <f>IF(OR(R634="",J634=""),"",R634/J634-1)</f>
        <v/>
      </c>
      <c r="T634" s="14">
        <f>IF(OR(L634="",R634="",J634=""),"",SQRT(4+(L634^2-4)*(R634/J634)^2))</f>
        <v/>
      </c>
      <c r="U634" s="7" t="n"/>
      <c r="V634" s="7" t="n"/>
    </row>
    <row r="635">
      <c r="A635" s="7" t="inlineStr">
        <is>
          <t>C-1-0.5-i1</t>
        </is>
      </c>
      <c r="B635" s="7" t="inlineStr">
        <is>
          <t>1</t>
        </is>
      </c>
      <c r="C635" s="7" t="inlineStr">
        <is>
          <t>C</t>
        </is>
      </c>
      <c r="D635" s="7" t="inlineStr">
        <is>
          <t>C</t>
        </is>
      </c>
      <c r="E635" s="7" t="n">
        <v>0.5</v>
      </c>
      <c r="F635" s="7" t="n">
        <v>1</v>
      </c>
      <c r="G635" s="8" t="n"/>
      <c r="H635" s="27" t="n"/>
      <c r="I635" s="27" t="n"/>
      <c r="J635" s="8" t="n"/>
      <c r="K635" s="8" t="n"/>
      <c r="L635" s="10" t="n"/>
      <c r="M635" s="8" t="n"/>
      <c r="N635" s="11">
        <f>IF(OR(J635="",H635="",I635=""),"",J635/((I635-H635)*1440))</f>
        <v/>
      </c>
      <c r="O635" s="7" t="n"/>
      <c r="P635" s="7" t="n"/>
      <c r="Q635" s="7" t="n"/>
      <c r="R635" s="12" t="n"/>
      <c r="S635" s="13">
        <f>IF(OR(R635="",J635=""),"",R635/J635-1)</f>
        <v/>
      </c>
      <c r="T635" s="14">
        <f>IF(OR(L635="",R635="",J635=""),"",SQRT(4+(L635^2-4)*(R635/J635)^2))</f>
        <v/>
      </c>
      <c r="U635" s="7" t="n"/>
      <c r="V635" s="7" t="n"/>
    </row>
    <row r="636">
      <c r="A636" s="7" t="inlineStr">
        <is>
          <t>C-1-0.5-i2</t>
        </is>
      </c>
      <c r="B636" s="7" t="inlineStr">
        <is>
          <t>1</t>
        </is>
      </c>
      <c r="C636" s="7" t="inlineStr">
        <is>
          <t>C</t>
        </is>
      </c>
      <c r="D636" s="7" t="inlineStr">
        <is>
          <t>C</t>
        </is>
      </c>
      <c r="E636" s="7" t="n">
        <v>0.5</v>
      </c>
      <c r="F636" s="7" t="n">
        <v>2</v>
      </c>
      <c r="G636" s="8" t="n"/>
      <c r="H636" s="27" t="n"/>
      <c r="I636" s="27" t="n"/>
      <c r="J636" s="8" t="n"/>
      <c r="K636" s="8" t="n"/>
      <c r="L636" s="10" t="n"/>
      <c r="M636" s="8" t="n"/>
      <c r="N636" s="11">
        <f>IF(OR(J636="",H636="",I636=""),"",J636/((I636-H636)*1440))</f>
        <v/>
      </c>
      <c r="O636" s="7" t="n"/>
      <c r="P636" s="7" t="n"/>
      <c r="Q636" s="7" t="n"/>
      <c r="R636" s="12" t="n"/>
      <c r="S636" s="13">
        <f>IF(OR(R636="",J636=""),"",R636/J636-1)</f>
        <v/>
      </c>
      <c r="T636" s="14">
        <f>IF(OR(L636="",R636="",J636=""),"",SQRT(4+(L636^2-4)*(R636/J636)^2))</f>
        <v/>
      </c>
      <c r="U636" s="7" t="n"/>
      <c r="V636" s="7" t="n"/>
    </row>
    <row r="637">
      <c r="A637" s="7" t="inlineStr">
        <is>
          <t>C-1-0.5-i3</t>
        </is>
      </c>
      <c r="B637" s="7" t="inlineStr">
        <is>
          <t>1</t>
        </is>
      </c>
      <c r="C637" s="7" t="inlineStr">
        <is>
          <t>C</t>
        </is>
      </c>
      <c r="D637" s="7" t="inlineStr">
        <is>
          <t>C</t>
        </is>
      </c>
      <c r="E637" s="7" t="n">
        <v>0.5</v>
      </c>
      <c r="F637" s="7" t="n">
        <v>3</v>
      </c>
      <c r="G637" s="8" t="n"/>
      <c r="H637" s="27" t="n"/>
      <c r="I637" s="27" t="n"/>
      <c r="J637" s="8" t="n"/>
      <c r="K637" s="8" t="n"/>
      <c r="L637" s="10" t="n"/>
      <c r="M637" s="8" t="n"/>
      <c r="N637" s="11">
        <f>IF(OR(J637="",H637="",I637=""),"",J637/((I637-H637)*1440))</f>
        <v/>
      </c>
      <c r="O637" s="7" t="n"/>
      <c r="P637" s="7" t="n"/>
      <c r="Q637" s="7" t="n"/>
      <c r="R637" s="12" t="n"/>
      <c r="S637" s="13">
        <f>IF(OR(R637="",J637=""),"",R637/J637-1)</f>
        <v/>
      </c>
      <c r="T637" s="14">
        <f>IF(OR(L637="",R637="",J637=""),"",SQRT(4+(L637^2-4)*(R637/J637)^2))</f>
        <v/>
      </c>
      <c r="U637" s="7" t="n"/>
      <c r="V637" s="7" t="n"/>
    </row>
    <row r="638">
      <c r="A638" s="7" t="inlineStr">
        <is>
          <t>C-1-1-i1</t>
        </is>
      </c>
      <c r="B638" s="7" t="inlineStr">
        <is>
          <t>1</t>
        </is>
      </c>
      <c r="C638" s="7" t="inlineStr">
        <is>
          <t>C</t>
        </is>
      </c>
      <c r="D638" s="7" t="inlineStr">
        <is>
          <t>C</t>
        </is>
      </c>
      <c r="E638" s="7" t="n">
        <v>1</v>
      </c>
      <c r="F638" s="7" t="n">
        <v>1</v>
      </c>
      <c r="G638" s="8" t="n"/>
      <c r="H638" s="27" t="n"/>
      <c r="I638" s="27" t="n"/>
      <c r="J638" s="8" t="n"/>
      <c r="K638" s="8" t="n"/>
      <c r="L638" s="10" t="n"/>
      <c r="M638" s="8" t="n"/>
      <c r="N638" s="11">
        <f>IF(OR(J638="",H638="",I638=""),"",J638/((I638-H638)*1440))</f>
        <v/>
      </c>
      <c r="O638" s="7" t="n"/>
      <c r="P638" s="7" t="n"/>
      <c r="Q638" s="7" t="n"/>
      <c r="R638" s="12" t="n"/>
      <c r="S638" s="13">
        <f>IF(OR(R638="",J638=""),"",R638/J638-1)</f>
        <v/>
      </c>
      <c r="T638" s="14">
        <f>IF(OR(L638="",R638="",J638=""),"",SQRT(4+(L638^2-4)*(R638/J638)^2))</f>
        <v/>
      </c>
      <c r="U638" s="7" t="n"/>
      <c r="V638" s="7" t="n"/>
    </row>
    <row r="639">
      <c r="A639" s="7" t="inlineStr">
        <is>
          <t>C-1-1-i2</t>
        </is>
      </c>
      <c r="B639" s="7" t="inlineStr">
        <is>
          <t>1</t>
        </is>
      </c>
      <c r="C639" s="7" t="inlineStr">
        <is>
          <t>C</t>
        </is>
      </c>
      <c r="D639" s="7" t="inlineStr">
        <is>
          <t>C</t>
        </is>
      </c>
      <c r="E639" s="7" t="n">
        <v>1</v>
      </c>
      <c r="F639" s="7" t="n">
        <v>2</v>
      </c>
      <c r="G639" s="8" t="n"/>
      <c r="H639" s="27" t="n"/>
      <c r="I639" s="27" t="n"/>
      <c r="J639" s="8" t="n"/>
      <c r="K639" s="8" t="n"/>
      <c r="L639" s="10" t="n"/>
      <c r="M639" s="8" t="n"/>
      <c r="N639" s="11">
        <f>IF(OR(J639="",H639="",I639=""),"",J639/((I639-H639)*1440))</f>
        <v/>
      </c>
      <c r="O639" s="7" t="n"/>
      <c r="P639" s="7" t="n"/>
      <c r="Q639" s="7" t="n"/>
      <c r="R639" s="12" t="n"/>
      <c r="S639" s="13">
        <f>IF(OR(R639="",J639=""),"",R639/J639-1)</f>
        <v/>
      </c>
      <c r="T639" s="14">
        <f>IF(OR(L639="",R639="",J639=""),"",SQRT(4+(L639^2-4)*(R639/J639)^2))</f>
        <v/>
      </c>
      <c r="U639" s="7" t="n"/>
      <c r="V639" s="7" t="n"/>
    </row>
    <row r="640">
      <c r="A640" s="7" t="inlineStr">
        <is>
          <t>C-1-1-i3</t>
        </is>
      </c>
      <c r="B640" s="7" t="inlineStr">
        <is>
          <t>1</t>
        </is>
      </c>
      <c r="C640" s="7" t="inlineStr">
        <is>
          <t>C</t>
        </is>
      </c>
      <c r="D640" s="7" t="inlineStr">
        <is>
          <t>C</t>
        </is>
      </c>
      <c r="E640" s="7" t="n">
        <v>1</v>
      </c>
      <c r="F640" s="7" t="n">
        <v>3</v>
      </c>
      <c r="G640" s="8" t="n"/>
      <c r="H640" s="27" t="n"/>
      <c r="I640" s="27" t="n"/>
      <c r="J640" s="8" t="n"/>
      <c r="K640" s="8" t="n"/>
      <c r="L640" s="10" t="n"/>
      <c r="M640" s="8" t="n"/>
      <c r="N640" s="11">
        <f>IF(OR(J640="",H640="",I640=""),"",J640/((I640-H640)*1440))</f>
        <v/>
      </c>
      <c r="O640" s="7" t="n"/>
      <c r="P640" s="7" t="n"/>
      <c r="Q640" s="7" t="n"/>
      <c r="R640" s="12" t="n"/>
      <c r="S640" s="13">
        <f>IF(OR(R640="",J640=""),"",R640/J640-1)</f>
        <v/>
      </c>
      <c r="T640" s="14">
        <f>IF(OR(L640="",R640="",J640=""),"",SQRT(4+(L640^2-4)*(R640/J640)^2))</f>
        <v/>
      </c>
      <c r="U640" s="7" t="n"/>
      <c r="V640" s="7" t="n"/>
    </row>
    <row r="641">
      <c r="A641" s="7" t="inlineStr">
        <is>
          <t>C-1-3-i1</t>
        </is>
      </c>
      <c r="B641" s="7" t="inlineStr">
        <is>
          <t>1</t>
        </is>
      </c>
      <c r="C641" s="7" t="inlineStr">
        <is>
          <t>C</t>
        </is>
      </c>
      <c r="D641" s="7" t="inlineStr">
        <is>
          <t>C</t>
        </is>
      </c>
      <c r="E641" s="7" t="n">
        <v>3</v>
      </c>
      <c r="F641" s="7" t="n">
        <v>1</v>
      </c>
      <c r="G641" s="8" t="n"/>
      <c r="H641" s="27" t="n"/>
      <c r="I641" s="27" t="n"/>
      <c r="J641" s="8" t="n"/>
      <c r="K641" s="8" t="n"/>
      <c r="L641" s="10" t="n"/>
      <c r="M641" s="8" t="n"/>
      <c r="N641" s="11">
        <f>IF(OR(J641="",H641="",I641=""),"",J641/((I641-H641)*1440))</f>
        <v/>
      </c>
      <c r="O641" s="7" t="n"/>
      <c r="P641" s="7" t="n"/>
      <c r="Q641" s="7" t="n"/>
      <c r="R641" s="12" t="n"/>
      <c r="S641" s="13">
        <f>IF(OR(R641="",J641=""),"",R641/J641-1)</f>
        <v/>
      </c>
      <c r="T641" s="14">
        <f>IF(OR(L641="",R641="",J641=""),"",SQRT(4+(L641^2-4)*(R641/J641)^2))</f>
        <v/>
      </c>
      <c r="U641" s="7" t="n"/>
      <c r="V641" s="7" t="n"/>
    </row>
    <row r="642">
      <c r="A642" s="7" t="inlineStr">
        <is>
          <t>C-1-3-i2</t>
        </is>
      </c>
      <c r="B642" s="7" t="inlineStr">
        <is>
          <t>1</t>
        </is>
      </c>
      <c r="C642" s="7" t="inlineStr">
        <is>
          <t>C</t>
        </is>
      </c>
      <c r="D642" s="7" t="inlineStr">
        <is>
          <t>C</t>
        </is>
      </c>
      <c r="E642" s="7" t="n">
        <v>3</v>
      </c>
      <c r="F642" s="7" t="n">
        <v>2</v>
      </c>
      <c r="G642" s="8" t="n"/>
      <c r="H642" s="27" t="n"/>
      <c r="I642" s="27" t="n"/>
      <c r="J642" s="8" t="n"/>
      <c r="K642" s="8" t="n"/>
      <c r="L642" s="10" t="n"/>
      <c r="M642" s="8" t="n"/>
      <c r="N642" s="11">
        <f>IF(OR(J642="",H642="",I642=""),"",J642/((I642-H642)*1440))</f>
        <v/>
      </c>
      <c r="O642" s="7" t="n"/>
      <c r="P642" s="7" t="n"/>
      <c r="Q642" s="7" t="n"/>
      <c r="R642" s="12" t="n"/>
      <c r="S642" s="13">
        <f>IF(OR(R642="",J642=""),"",R642/J642-1)</f>
        <v/>
      </c>
      <c r="T642" s="14">
        <f>IF(OR(L642="",R642="",J642=""),"",SQRT(4+(L642^2-4)*(R642/J642)^2))</f>
        <v/>
      </c>
      <c r="U642" s="7" t="n"/>
      <c r="V642" s="7" t="n"/>
    </row>
    <row r="643">
      <c r="A643" s="7" t="inlineStr">
        <is>
          <t>C-1-3-i3</t>
        </is>
      </c>
      <c r="B643" s="7" t="inlineStr">
        <is>
          <t>1</t>
        </is>
      </c>
      <c r="C643" s="7" t="inlineStr">
        <is>
          <t>C</t>
        </is>
      </c>
      <c r="D643" s="7" t="inlineStr">
        <is>
          <t>C</t>
        </is>
      </c>
      <c r="E643" s="7" t="n">
        <v>3</v>
      </c>
      <c r="F643" s="7" t="n">
        <v>3</v>
      </c>
      <c r="G643" s="8" t="n"/>
      <c r="H643" s="27" t="n"/>
      <c r="I643" s="27" t="n"/>
      <c r="J643" s="8" t="n"/>
      <c r="K643" s="8" t="n"/>
      <c r="L643" s="10" t="n"/>
      <c r="M643" s="8" t="n"/>
      <c r="N643" s="11">
        <f>IF(OR(J643="",H643="",I643=""),"",J643/((I643-H643)*1440))</f>
        <v/>
      </c>
      <c r="O643" s="7" t="n"/>
      <c r="P643" s="7" t="n"/>
      <c r="Q643" s="7" t="n"/>
      <c r="R643" s="12" t="n"/>
      <c r="S643" s="13">
        <f>IF(OR(R643="",J643=""),"",R643/J643-1)</f>
        <v/>
      </c>
      <c r="T643" s="14">
        <f>IF(OR(L643="",R643="",J643=""),"",SQRT(4+(L643^2-4)*(R643/J643)^2))</f>
        <v/>
      </c>
      <c r="U643" s="7" t="n"/>
      <c r="V643" s="7" t="n"/>
    </row>
    <row r="644">
      <c r="A644" s="7" t="inlineStr">
        <is>
          <t>C-1-5-i1</t>
        </is>
      </c>
      <c r="B644" s="7" t="inlineStr">
        <is>
          <t>1</t>
        </is>
      </c>
      <c r="C644" s="7" t="inlineStr">
        <is>
          <t>C</t>
        </is>
      </c>
      <c r="D644" s="7" t="inlineStr">
        <is>
          <t>C</t>
        </is>
      </c>
      <c r="E644" s="7" t="n">
        <v>5</v>
      </c>
      <c r="F644" s="7" t="n">
        <v>1</v>
      </c>
      <c r="G644" s="8" t="n"/>
      <c r="H644" s="27" t="n"/>
      <c r="I644" s="27" t="n"/>
      <c r="J644" s="8" t="n"/>
      <c r="K644" s="8" t="n"/>
      <c r="L644" s="10" t="n"/>
      <c r="M644" s="8" t="n"/>
      <c r="N644" s="11">
        <f>IF(OR(J644="",H644="",I644=""),"",J644/((I644-H644)*1440))</f>
        <v/>
      </c>
      <c r="O644" s="7" t="n"/>
      <c r="P644" s="7" t="n"/>
      <c r="Q644" s="7" t="n"/>
      <c r="R644" s="12" t="n"/>
      <c r="S644" s="13">
        <f>IF(OR(R644="",J644=""),"",R644/J644-1)</f>
        <v/>
      </c>
      <c r="T644" s="14">
        <f>IF(OR(L644="",R644="",J644=""),"",SQRT(4+(L644^2-4)*(R644/J644)^2))</f>
        <v/>
      </c>
      <c r="U644" s="7" t="n"/>
      <c r="V644" s="7" t="n"/>
    </row>
    <row r="645">
      <c r="A645" s="7" t="inlineStr">
        <is>
          <t>C-1-5-i2</t>
        </is>
      </c>
      <c r="B645" s="7" t="inlineStr">
        <is>
          <t>1</t>
        </is>
      </c>
      <c r="C645" s="7" t="inlineStr">
        <is>
          <t>C</t>
        </is>
      </c>
      <c r="D645" s="7" t="inlineStr">
        <is>
          <t>C</t>
        </is>
      </c>
      <c r="E645" s="7" t="n">
        <v>5</v>
      </c>
      <c r="F645" s="7" t="n">
        <v>2</v>
      </c>
      <c r="G645" s="8" t="n"/>
      <c r="H645" s="27" t="n"/>
      <c r="I645" s="27" t="n"/>
      <c r="J645" s="8" t="n"/>
      <c r="K645" s="8" t="n"/>
      <c r="L645" s="10" t="n"/>
      <c r="M645" s="8" t="n"/>
      <c r="N645" s="11">
        <f>IF(OR(J645="",H645="",I645=""),"",J645/((I645-H645)*1440))</f>
        <v/>
      </c>
      <c r="O645" s="7" t="n"/>
      <c r="P645" s="7" t="n"/>
      <c r="Q645" s="7" t="n"/>
      <c r="R645" s="12" t="n"/>
      <c r="S645" s="13">
        <f>IF(OR(R645="",J645=""),"",R645/J645-1)</f>
        <v/>
      </c>
      <c r="T645" s="14">
        <f>IF(OR(L645="",R645="",J645=""),"",SQRT(4+(L645^2-4)*(R645/J645)^2))</f>
        <v/>
      </c>
      <c r="U645" s="7" t="n"/>
      <c r="V645" s="7" t="n"/>
    </row>
    <row r="646">
      <c r="A646" s="7" t="inlineStr">
        <is>
          <t>C-1-5-i3</t>
        </is>
      </c>
      <c r="B646" s="7" t="inlineStr">
        <is>
          <t>1</t>
        </is>
      </c>
      <c r="C646" s="7" t="inlineStr">
        <is>
          <t>C</t>
        </is>
      </c>
      <c r="D646" s="7" t="inlineStr">
        <is>
          <t>C</t>
        </is>
      </c>
      <c r="E646" s="7" t="n">
        <v>5</v>
      </c>
      <c r="F646" s="7" t="n">
        <v>3</v>
      </c>
      <c r="G646" s="8" t="n"/>
      <c r="H646" s="27" t="n"/>
      <c r="I646" s="27" t="n"/>
      <c r="J646" s="8" t="n"/>
      <c r="K646" s="8" t="n"/>
      <c r="L646" s="10" t="n"/>
      <c r="M646" s="8" t="n"/>
      <c r="N646" s="11">
        <f>IF(OR(J646="",H646="",I646=""),"",J646/((I646-H646)*1440))</f>
        <v/>
      </c>
      <c r="O646" s="7" t="n"/>
      <c r="P646" s="7" t="n"/>
      <c r="Q646" s="7" t="n"/>
      <c r="R646" s="12" t="n"/>
      <c r="S646" s="13">
        <f>IF(OR(R646="",J646=""),"",R646/J646-1)</f>
        <v/>
      </c>
      <c r="T646" s="14">
        <f>IF(OR(L646="",R646="",J646=""),"",SQRT(4+(L646^2-4)*(R646/J646)^2))</f>
        <v/>
      </c>
      <c r="U646" s="7" t="n"/>
      <c r="V646" s="7" t="n"/>
    </row>
    <row r="647">
      <c r="A647" s="7" t="inlineStr">
        <is>
          <t>C-1-10-i1</t>
        </is>
      </c>
      <c r="B647" s="7" t="inlineStr">
        <is>
          <t>1</t>
        </is>
      </c>
      <c r="C647" s="7" t="inlineStr">
        <is>
          <t>C</t>
        </is>
      </c>
      <c r="D647" s="7" t="inlineStr">
        <is>
          <t>C</t>
        </is>
      </c>
      <c r="E647" s="7" t="n">
        <v>10</v>
      </c>
      <c r="F647" s="7" t="n">
        <v>1</v>
      </c>
      <c r="G647" s="8" t="n"/>
      <c r="H647" s="27" t="n"/>
      <c r="I647" s="27" t="n"/>
      <c r="J647" s="8" t="n"/>
      <c r="K647" s="8" t="n"/>
      <c r="L647" s="10" t="n"/>
      <c r="M647" s="8" t="n"/>
      <c r="N647" s="11">
        <f>IF(OR(J647="",H647="",I647=""),"",J647/((I647-H647)*1440))</f>
        <v/>
      </c>
      <c r="O647" s="7" t="n"/>
      <c r="P647" s="7" t="n"/>
      <c r="Q647" s="7" t="n"/>
      <c r="R647" s="12" t="n"/>
      <c r="S647" s="13">
        <f>IF(OR(R647="",J647=""),"",R647/J647-1)</f>
        <v/>
      </c>
      <c r="T647" s="14">
        <f>IF(OR(L647="",R647="",J647=""),"",SQRT(4+(L647^2-4)*(R647/J647)^2))</f>
        <v/>
      </c>
      <c r="U647" s="7" t="n"/>
      <c r="V647" s="7" t="n"/>
    </row>
    <row r="648">
      <c r="A648" s="7" t="inlineStr">
        <is>
          <t>C-1-10-i2</t>
        </is>
      </c>
      <c r="B648" s="7" t="inlineStr">
        <is>
          <t>1</t>
        </is>
      </c>
      <c r="C648" s="7" t="inlineStr">
        <is>
          <t>C</t>
        </is>
      </c>
      <c r="D648" s="7" t="inlineStr">
        <is>
          <t>C</t>
        </is>
      </c>
      <c r="E648" s="7" t="n">
        <v>10</v>
      </c>
      <c r="F648" s="7" t="n">
        <v>2</v>
      </c>
      <c r="G648" s="8" t="n"/>
      <c r="H648" s="27" t="n"/>
      <c r="I648" s="27" t="n"/>
      <c r="J648" s="8" t="n"/>
      <c r="K648" s="8" t="n"/>
      <c r="L648" s="10" t="n"/>
      <c r="M648" s="8" t="n"/>
      <c r="N648" s="11">
        <f>IF(OR(J648="",H648="",I648=""),"",J648/((I648-H648)*1440))</f>
        <v/>
      </c>
      <c r="O648" s="7" t="n"/>
      <c r="P648" s="7" t="n"/>
      <c r="Q648" s="7" t="n"/>
      <c r="R648" s="12" t="n"/>
      <c r="S648" s="13">
        <f>IF(OR(R648="",J648=""),"",R648/J648-1)</f>
        <v/>
      </c>
      <c r="T648" s="14">
        <f>IF(OR(L648="",R648="",J648=""),"",SQRT(4+(L648^2-4)*(R648/J648)^2))</f>
        <v/>
      </c>
      <c r="U648" s="7" t="n"/>
      <c r="V648" s="7" t="n"/>
    </row>
    <row r="649">
      <c r="A649" s="7" t="inlineStr">
        <is>
          <t>C-1-10-i3</t>
        </is>
      </c>
      <c r="B649" s="7" t="inlineStr">
        <is>
          <t>1</t>
        </is>
      </c>
      <c r="C649" s="7" t="inlineStr">
        <is>
          <t>C</t>
        </is>
      </c>
      <c r="D649" s="7" t="inlineStr">
        <is>
          <t>C</t>
        </is>
      </c>
      <c r="E649" s="7" t="n">
        <v>10</v>
      </c>
      <c r="F649" s="7" t="n">
        <v>3</v>
      </c>
      <c r="G649" s="8" t="n"/>
      <c r="H649" s="27" t="n"/>
      <c r="I649" s="27" t="n"/>
      <c r="J649" s="8" t="n"/>
      <c r="K649" s="8" t="n"/>
      <c r="L649" s="10" t="n"/>
      <c r="M649" s="8" t="n"/>
      <c r="N649" s="11">
        <f>IF(OR(J649="",H649="",I649=""),"",J649/((I649-H649)*1440))</f>
        <v/>
      </c>
      <c r="O649" s="7" t="n"/>
      <c r="P649" s="7" t="n"/>
      <c r="Q649" s="7" t="n"/>
      <c r="R649" s="12" t="n"/>
      <c r="S649" s="13">
        <f>IF(OR(R649="",J649=""),"",R649/J649-1)</f>
        <v/>
      </c>
      <c r="T649" s="14">
        <f>IF(OR(L649="",R649="",J649=""),"",SQRT(4+(L649^2-4)*(R649/J649)^2))</f>
        <v/>
      </c>
      <c r="U649" s="7" t="n"/>
      <c r="V649" s="7" t="n"/>
    </row>
    <row r="650">
      <c r="A650" s="7" t="inlineStr">
        <is>
          <t>c-1-0.5-i1</t>
        </is>
      </c>
      <c r="B650" s="7" t="inlineStr">
        <is>
          <t>1</t>
        </is>
      </c>
      <c r="C650" s="7" t="inlineStr">
        <is>
          <t>c</t>
        </is>
      </c>
      <c r="D650" s="7" t="inlineStr">
        <is>
          <t>c</t>
        </is>
      </c>
      <c r="E650" s="7" t="n">
        <v>0.5</v>
      </c>
      <c r="F650" s="7" t="n">
        <v>1</v>
      </c>
      <c r="G650" s="8" t="n"/>
      <c r="H650" s="27" t="n"/>
      <c r="I650" s="27" t="n"/>
      <c r="J650" s="8" t="n"/>
      <c r="K650" s="8" t="n"/>
      <c r="L650" s="10" t="n"/>
      <c r="M650" s="8" t="n"/>
      <c r="N650" s="11">
        <f>IF(OR(J650="",H650="",I650=""),"",J650/((I650-H650)*1440))</f>
        <v/>
      </c>
      <c r="O650" s="7" t="n"/>
      <c r="P650" s="7" t="n"/>
      <c r="Q650" s="7" t="n"/>
      <c r="R650" s="12" t="n"/>
      <c r="S650" s="13">
        <f>IF(OR(R650="",J650=""),"",R650/J650-1)</f>
        <v/>
      </c>
      <c r="T650" s="14">
        <f>IF(OR(L650="",R650="",J650=""),"",SQRT(4+(L650^2-4)*(R650/J650)^2))</f>
        <v/>
      </c>
      <c r="U650" s="7" t="n"/>
      <c r="V650" s="7" t="n"/>
    </row>
    <row r="651">
      <c r="A651" s="7" t="inlineStr">
        <is>
          <t>c-1-0.5-i2</t>
        </is>
      </c>
      <c r="B651" s="7" t="inlineStr">
        <is>
          <t>1</t>
        </is>
      </c>
      <c r="C651" s="7" t="inlineStr">
        <is>
          <t>c</t>
        </is>
      </c>
      <c r="D651" s="7" t="inlineStr">
        <is>
          <t>c</t>
        </is>
      </c>
      <c r="E651" s="7" t="n">
        <v>0.5</v>
      </c>
      <c r="F651" s="7" t="n">
        <v>2</v>
      </c>
      <c r="G651" s="8" t="n"/>
      <c r="H651" s="27" t="n"/>
      <c r="I651" s="27" t="n"/>
      <c r="J651" s="8" t="n"/>
      <c r="K651" s="8" t="n"/>
      <c r="L651" s="10" t="n"/>
      <c r="M651" s="8" t="n"/>
      <c r="N651" s="11">
        <f>IF(OR(J651="",H651="",I651=""),"",J651/((I651-H651)*1440))</f>
        <v/>
      </c>
      <c r="O651" s="7" t="n"/>
      <c r="P651" s="7" t="n"/>
      <c r="Q651" s="7" t="n"/>
      <c r="R651" s="12" t="n"/>
      <c r="S651" s="13">
        <f>IF(OR(R651="",J651=""),"",R651/J651-1)</f>
        <v/>
      </c>
      <c r="T651" s="14">
        <f>IF(OR(L651="",R651="",J651=""),"",SQRT(4+(L651^2-4)*(R651/J651)^2))</f>
        <v/>
      </c>
      <c r="U651" s="7" t="n"/>
      <c r="V651" s="7" t="n"/>
    </row>
    <row r="652">
      <c r="A652" s="7" t="inlineStr">
        <is>
          <t>c-1-0.5-i3</t>
        </is>
      </c>
      <c r="B652" s="7" t="inlineStr">
        <is>
          <t>1</t>
        </is>
      </c>
      <c r="C652" s="7" t="inlineStr">
        <is>
          <t>c</t>
        </is>
      </c>
      <c r="D652" s="7" t="inlineStr">
        <is>
          <t>c</t>
        </is>
      </c>
      <c r="E652" s="7" t="n">
        <v>0.5</v>
      </c>
      <c r="F652" s="7" t="n">
        <v>3</v>
      </c>
      <c r="G652" s="8" t="n"/>
      <c r="H652" s="27" t="n"/>
      <c r="I652" s="27" t="n"/>
      <c r="J652" s="8" t="n"/>
      <c r="K652" s="8" t="n"/>
      <c r="L652" s="10" t="n"/>
      <c r="M652" s="8" t="n"/>
      <c r="N652" s="11">
        <f>IF(OR(J652="",H652="",I652=""),"",J652/((I652-H652)*1440))</f>
        <v/>
      </c>
      <c r="O652" s="7" t="n"/>
      <c r="P652" s="7" t="n"/>
      <c r="Q652" s="7" t="n"/>
      <c r="R652" s="12" t="n"/>
      <c r="S652" s="13">
        <f>IF(OR(R652="",J652=""),"",R652/J652-1)</f>
        <v/>
      </c>
      <c r="T652" s="14">
        <f>IF(OR(L652="",R652="",J652=""),"",SQRT(4+(L652^2-4)*(R652/J652)^2))</f>
        <v/>
      </c>
      <c r="U652" s="7" t="n"/>
      <c r="V652" s="7" t="n"/>
    </row>
    <row r="653">
      <c r="A653" s="7" t="inlineStr">
        <is>
          <t>c-1-1-i1</t>
        </is>
      </c>
      <c r="B653" s="7" t="inlineStr">
        <is>
          <t>1</t>
        </is>
      </c>
      <c r="C653" s="7" t="inlineStr">
        <is>
          <t>c</t>
        </is>
      </c>
      <c r="D653" s="7" t="inlineStr">
        <is>
          <t>c</t>
        </is>
      </c>
      <c r="E653" s="7" t="n">
        <v>1</v>
      </c>
      <c r="F653" s="7" t="n">
        <v>1</v>
      </c>
      <c r="G653" s="8" t="n"/>
      <c r="H653" s="27" t="n"/>
      <c r="I653" s="27" t="n"/>
      <c r="J653" s="8" t="n"/>
      <c r="K653" s="8" t="n"/>
      <c r="L653" s="10" t="n"/>
      <c r="M653" s="8" t="n"/>
      <c r="N653" s="11">
        <f>IF(OR(J653="",H653="",I653=""),"",J653/((I653-H653)*1440))</f>
        <v/>
      </c>
      <c r="O653" s="7" t="n"/>
      <c r="P653" s="7" t="n"/>
      <c r="Q653" s="7" t="n"/>
      <c r="R653" s="12" t="n"/>
      <c r="S653" s="13">
        <f>IF(OR(R653="",J653=""),"",R653/J653-1)</f>
        <v/>
      </c>
      <c r="T653" s="14">
        <f>IF(OR(L653="",R653="",J653=""),"",SQRT(4+(L653^2-4)*(R653/J653)^2))</f>
        <v/>
      </c>
      <c r="U653" s="7" t="n"/>
      <c r="V653" s="7" t="n"/>
    </row>
    <row r="654">
      <c r="A654" s="7" t="inlineStr">
        <is>
          <t>c-1-1-i2</t>
        </is>
      </c>
      <c r="B654" s="7" t="inlineStr">
        <is>
          <t>1</t>
        </is>
      </c>
      <c r="C654" s="7" t="inlineStr">
        <is>
          <t>c</t>
        </is>
      </c>
      <c r="D654" s="7" t="inlineStr">
        <is>
          <t>c</t>
        </is>
      </c>
      <c r="E654" s="7" t="n">
        <v>1</v>
      </c>
      <c r="F654" s="7" t="n">
        <v>2</v>
      </c>
      <c r="G654" s="8" t="n"/>
      <c r="H654" s="27" t="n"/>
      <c r="I654" s="27" t="n"/>
      <c r="J654" s="8" t="n"/>
      <c r="K654" s="8" t="n"/>
      <c r="L654" s="10" t="n"/>
      <c r="M654" s="8" t="n"/>
      <c r="N654" s="11">
        <f>IF(OR(J654="",H654="",I654=""),"",J654/((I654-H654)*1440))</f>
        <v/>
      </c>
      <c r="O654" s="7" t="n"/>
      <c r="P654" s="7" t="n"/>
      <c r="Q654" s="7" t="n"/>
      <c r="R654" s="12" t="n"/>
      <c r="S654" s="13">
        <f>IF(OR(R654="",J654=""),"",R654/J654-1)</f>
        <v/>
      </c>
      <c r="T654" s="14">
        <f>IF(OR(L654="",R654="",J654=""),"",SQRT(4+(L654^2-4)*(R654/J654)^2))</f>
        <v/>
      </c>
      <c r="U654" s="7" t="n"/>
      <c r="V654" s="7" t="n"/>
    </row>
    <row r="655">
      <c r="A655" s="7" t="inlineStr">
        <is>
          <t>c-1-1-i3</t>
        </is>
      </c>
      <c r="B655" s="7" t="inlineStr">
        <is>
          <t>1</t>
        </is>
      </c>
      <c r="C655" s="7" t="inlineStr">
        <is>
          <t>c</t>
        </is>
      </c>
      <c r="D655" s="7" t="inlineStr">
        <is>
          <t>c</t>
        </is>
      </c>
      <c r="E655" s="7" t="n">
        <v>1</v>
      </c>
      <c r="F655" s="7" t="n">
        <v>3</v>
      </c>
      <c r="G655" s="8" t="n"/>
      <c r="H655" s="27" t="n"/>
      <c r="I655" s="27" t="n"/>
      <c r="J655" s="8" t="n"/>
      <c r="K655" s="8" t="n"/>
      <c r="L655" s="10" t="n"/>
      <c r="M655" s="8" t="n"/>
      <c r="N655" s="11">
        <f>IF(OR(J655="",H655="",I655=""),"",J655/((I655-H655)*1440))</f>
        <v/>
      </c>
      <c r="O655" s="7" t="n"/>
      <c r="P655" s="7" t="n"/>
      <c r="Q655" s="7" t="n"/>
      <c r="R655" s="12" t="n"/>
      <c r="S655" s="13">
        <f>IF(OR(R655="",J655=""),"",R655/J655-1)</f>
        <v/>
      </c>
      <c r="T655" s="14">
        <f>IF(OR(L655="",R655="",J655=""),"",SQRT(4+(L655^2-4)*(R655/J655)^2))</f>
        <v/>
      </c>
      <c r="U655" s="7" t="n"/>
      <c r="V655" s="7" t="n"/>
    </row>
    <row r="656">
      <c r="A656" s="7" t="inlineStr">
        <is>
          <t>c-1-3-i1</t>
        </is>
      </c>
      <c r="B656" s="7" t="inlineStr">
        <is>
          <t>1</t>
        </is>
      </c>
      <c r="C656" s="7" t="inlineStr">
        <is>
          <t>c</t>
        </is>
      </c>
      <c r="D656" s="7" t="inlineStr">
        <is>
          <t>c</t>
        </is>
      </c>
      <c r="E656" s="7" t="n">
        <v>3</v>
      </c>
      <c r="F656" s="7" t="n">
        <v>1</v>
      </c>
      <c r="G656" s="8" t="n"/>
      <c r="H656" s="27" t="n"/>
      <c r="I656" s="27" t="n"/>
      <c r="J656" s="8" t="n"/>
      <c r="K656" s="8" t="n"/>
      <c r="L656" s="10" t="n"/>
      <c r="M656" s="8" t="n"/>
      <c r="N656" s="11">
        <f>IF(OR(J656="",H656="",I656=""),"",J656/((I656-H656)*1440))</f>
        <v/>
      </c>
      <c r="O656" s="7" t="n"/>
      <c r="P656" s="7" t="n"/>
      <c r="Q656" s="7" t="n"/>
      <c r="R656" s="12" t="n"/>
      <c r="S656" s="13">
        <f>IF(OR(R656="",J656=""),"",R656/J656-1)</f>
        <v/>
      </c>
      <c r="T656" s="14">
        <f>IF(OR(L656="",R656="",J656=""),"",SQRT(4+(L656^2-4)*(R656/J656)^2))</f>
        <v/>
      </c>
      <c r="U656" s="7" t="n"/>
      <c r="V656" s="7" t="n"/>
    </row>
    <row r="657">
      <c r="A657" s="7" t="inlineStr">
        <is>
          <t>c-1-3-i2</t>
        </is>
      </c>
      <c r="B657" s="7" t="inlineStr">
        <is>
          <t>1</t>
        </is>
      </c>
      <c r="C657" s="7" t="inlineStr">
        <is>
          <t>c</t>
        </is>
      </c>
      <c r="D657" s="7" t="inlineStr">
        <is>
          <t>c</t>
        </is>
      </c>
      <c r="E657" s="7" t="n">
        <v>3</v>
      </c>
      <c r="F657" s="7" t="n">
        <v>2</v>
      </c>
      <c r="G657" s="8" t="n"/>
      <c r="H657" s="27" t="n"/>
      <c r="I657" s="27" t="n"/>
      <c r="J657" s="8" t="n"/>
      <c r="K657" s="8" t="n"/>
      <c r="L657" s="10" t="n"/>
      <c r="M657" s="8" t="n"/>
      <c r="N657" s="11">
        <f>IF(OR(J657="",H657="",I657=""),"",J657/((I657-H657)*1440))</f>
        <v/>
      </c>
      <c r="O657" s="7" t="n"/>
      <c r="P657" s="7" t="n"/>
      <c r="Q657" s="7" t="n"/>
      <c r="R657" s="12" t="n"/>
      <c r="S657" s="13">
        <f>IF(OR(R657="",J657=""),"",R657/J657-1)</f>
        <v/>
      </c>
      <c r="T657" s="14">
        <f>IF(OR(L657="",R657="",J657=""),"",SQRT(4+(L657^2-4)*(R657/J657)^2))</f>
        <v/>
      </c>
      <c r="U657" s="7" t="n"/>
      <c r="V657" s="7" t="n"/>
    </row>
    <row r="658">
      <c r="A658" s="7" t="inlineStr">
        <is>
          <t>c-1-3-i3</t>
        </is>
      </c>
      <c r="B658" s="7" t="inlineStr">
        <is>
          <t>1</t>
        </is>
      </c>
      <c r="C658" s="7" t="inlineStr">
        <is>
          <t>c</t>
        </is>
      </c>
      <c r="D658" s="7" t="inlineStr">
        <is>
          <t>c</t>
        </is>
      </c>
      <c r="E658" s="7" t="n">
        <v>3</v>
      </c>
      <c r="F658" s="7" t="n">
        <v>3</v>
      </c>
      <c r="G658" s="8" t="n"/>
      <c r="H658" s="27" t="n"/>
      <c r="I658" s="27" t="n"/>
      <c r="J658" s="8" t="n"/>
      <c r="K658" s="8" t="n"/>
      <c r="L658" s="10" t="n"/>
      <c r="M658" s="8" t="n"/>
      <c r="N658" s="11">
        <f>IF(OR(J658="",H658="",I658=""),"",J658/((I658-H658)*1440))</f>
        <v/>
      </c>
      <c r="O658" s="7" t="n"/>
      <c r="P658" s="7" t="n"/>
      <c r="Q658" s="7" t="n"/>
      <c r="R658" s="12" t="n"/>
      <c r="S658" s="13">
        <f>IF(OR(R658="",J658=""),"",R658/J658-1)</f>
        <v/>
      </c>
      <c r="T658" s="14">
        <f>IF(OR(L658="",R658="",J658=""),"",SQRT(4+(L658^2-4)*(R658/J658)^2))</f>
        <v/>
      </c>
      <c r="U658" s="7" t="n"/>
      <c r="V658" s="7" t="n"/>
    </row>
    <row r="659">
      <c r="A659" s="7" t="inlineStr">
        <is>
          <t>c-1-5-i1</t>
        </is>
      </c>
      <c r="B659" s="7" t="inlineStr">
        <is>
          <t>1</t>
        </is>
      </c>
      <c r="C659" s="7" t="inlineStr">
        <is>
          <t>c</t>
        </is>
      </c>
      <c r="D659" s="7" t="inlineStr">
        <is>
          <t>c</t>
        </is>
      </c>
      <c r="E659" s="7" t="n">
        <v>5</v>
      </c>
      <c r="F659" s="7" t="n">
        <v>1</v>
      </c>
      <c r="G659" s="8" t="n"/>
      <c r="H659" s="27" t="n"/>
      <c r="I659" s="27" t="n"/>
      <c r="J659" s="8" t="n"/>
      <c r="K659" s="8" t="n"/>
      <c r="L659" s="10" t="n"/>
      <c r="M659" s="8" t="n"/>
      <c r="N659" s="11">
        <f>IF(OR(J659="",H659="",I659=""),"",J659/((I659-H659)*1440))</f>
        <v/>
      </c>
      <c r="O659" s="7" t="n"/>
      <c r="P659" s="7" t="n"/>
      <c r="Q659" s="7" t="n"/>
      <c r="R659" s="12" t="n"/>
      <c r="S659" s="13">
        <f>IF(OR(R659="",J659=""),"",R659/J659-1)</f>
        <v/>
      </c>
      <c r="T659" s="14">
        <f>IF(OR(L659="",R659="",J659=""),"",SQRT(4+(L659^2-4)*(R659/J659)^2))</f>
        <v/>
      </c>
      <c r="U659" s="7" t="n"/>
      <c r="V659" s="7" t="n"/>
    </row>
    <row r="660">
      <c r="A660" s="7" t="inlineStr">
        <is>
          <t>c-1-5-i2</t>
        </is>
      </c>
      <c r="B660" s="7" t="inlineStr">
        <is>
          <t>1</t>
        </is>
      </c>
      <c r="C660" s="7" t="inlineStr">
        <is>
          <t>c</t>
        </is>
      </c>
      <c r="D660" s="7" t="inlineStr">
        <is>
          <t>c</t>
        </is>
      </c>
      <c r="E660" s="7" t="n">
        <v>5</v>
      </c>
      <c r="F660" s="7" t="n">
        <v>2</v>
      </c>
      <c r="G660" s="8" t="n"/>
      <c r="H660" s="27" t="n"/>
      <c r="I660" s="27" t="n"/>
      <c r="J660" s="8" t="n"/>
      <c r="K660" s="8" t="n"/>
      <c r="L660" s="10" t="n"/>
      <c r="M660" s="8" t="n"/>
      <c r="N660" s="11">
        <f>IF(OR(J660="",H660="",I660=""),"",J660/((I660-H660)*1440))</f>
        <v/>
      </c>
      <c r="O660" s="7" t="n"/>
      <c r="P660" s="7" t="n"/>
      <c r="Q660" s="7" t="n"/>
      <c r="R660" s="12" t="n"/>
      <c r="S660" s="13">
        <f>IF(OR(R660="",J660=""),"",R660/J660-1)</f>
        <v/>
      </c>
      <c r="T660" s="14">
        <f>IF(OR(L660="",R660="",J660=""),"",SQRT(4+(L660^2-4)*(R660/J660)^2))</f>
        <v/>
      </c>
      <c r="U660" s="7" t="n"/>
      <c r="V660" s="7" t="n"/>
    </row>
    <row r="661">
      <c r="A661" s="7" t="inlineStr">
        <is>
          <t>c-1-5-i3</t>
        </is>
      </c>
      <c r="B661" s="7" t="inlineStr">
        <is>
          <t>1</t>
        </is>
      </c>
      <c r="C661" s="7" t="inlineStr">
        <is>
          <t>c</t>
        </is>
      </c>
      <c r="D661" s="7" t="inlineStr">
        <is>
          <t>c</t>
        </is>
      </c>
      <c r="E661" s="7" t="n">
        <v>5</v>
      </c>
      <c r="F661" s="7" t="n">
        <v>3</v>
      </c>
      <c r="G661" s="8" t="n"/>
      <c r="H661" s="27" t="n"/>
      <c r="I661" s="27" t="n"/>
      <c r="J661" s="8" t="n"/>
      <c r="K661" s="8" t="n"/>
      <c r="L661" s="10" t="n"/>
      <c r="M661" s="8" t="n"/>
      <c r="N661" s="11">
        <f>IF(OR(J661="",H661="",I661=""),"",J661/((I661-H661)*1440))</f>
        <v/>
      </c>
      <c r="O661" s="7" t="n"/>
      <c r="P661" s="7" t="n"/>
      <c r="Q661" s="7" t="n"/>
      <c r="R661" s="12" t="n"/>
      <c r="S661" s="13">
        <f>IF(OR(R661="",J661=""),"",R661/J661-1)</f>
        <v/>
      </c>
      <c r="T661" s="14">
        <f>IF(OR(L661="",R661="",J661=""),"",SQRT(4+(L661^2-4)*(R661/J661)^2))</f>
        <v/>
      </c>
      <c r="U661" s="7" t="n"/>
      <c r="V661" s="7" t="n"/>
    </row>
    <row r="662">
      <c r="A662" s="7" t="inlineStr">
        <is>
          <t>c-1-10-i1</t>
        </is>
      </c>
      <c r="B662" s="7" t="inlineStr">
        <is>
          <t>1</t>
        </is>
      </c>
      <c r="C662" s="7" t="inlineStr">
        <is>
          <t>c</t>
        </is>
      </c>
      <c r="D662" s="7" t="inlineStr">
        <is>
          <t>c</t>
        </is>
      </c>
      <c r="E662" s="7" t="n">
        <v>10</v>
      </c>
      <c r="F662" s="7" t="n">
        <v>1</v>
      </c>
      <c r="G662" s="8" t="n"/>
      <c r="H662" s="27" t="n"/>
      <c r="I662" s="27" t="n"/>
      <c r="J662" s="8" t="n"/>
      <c r="K662" s="8" t="n"/>
      <c r="L662" s="10" t="n"/>
      <c r="M662" s="8" t="n"/>
      <c r="N662" s="11">
        <f>IF(OR(J662="",H662="",I662=""),"",J662/((I662-H662)*1440))</f>
        <v/>
      </c>
      <c r="O662" s="7" t="n"/>
      <c r="P662" s="7" t="n"/>
      <c r="Q662" s="7" t="n"/>
      <c r="R662" s="12" t="n"/>
      <c r="S662" s="13">
        <f>IF(OR(R662="",J662=""),"",R662/J662-1)</f>
        <v/>
      </c>
      <c r="T662" s="14">
        <f>IF(OR(L662="",R662="",J662=""),"",SQRT(4+(L662^2-4)*(R662/J662)^2))</f>
        <v/>
      </c>
      <c r="U662" s="7" t="n"/>
      <c r="V662" s="7" t="n"/>
    </row>
    <row r="663">
      <c r="A663" s="7" t="inlineStr">
        <is>
          <t>c-1-10-i2</t>
        </is>
      </c>
      <c r="B663" s="7" t="inlineStr">
        <is>
          <t>1</t>
        </is>
      </c>
      <c r="C663" s="7" t="inlineStr">
        <is>
          <t>c</t>
        </is>
      </c>
      <c r="D663" s="7" t="inlineStr">
        <is>
          <t>c</t>
        </is>
      </c>
      <c r="E663" s="7" t="n">
        <v>10</v>
      </c>
      <c r="F663" s="7" t="n">
        <v>2</v>
      </c>
      <c r="G663" s="8" t="n"/>
      <c r="H663" s="27" t="n"/>
      <c r="I663" s="27" t="n"/>
      <c r="J663" s="8" t="n"/>
      <c r="K663" s="8" t="n"/>
      <c r="L663" s="10" t="n"/>
      <c r="M663" s="8" t="n"/>
      <c r="N663" s="11">
        <f>IF(OR(J663="",H663="",I663=""),"",J663/((I663-H663)*1440))</f>
        <v/>
      </c>
      <c r="O663" s="7" t="n"/>
      <c r="P663" s="7" t="n"/>
      <c r="Q663" s="7" t="n"/>
      <c r="R663" s="12" t="n"/>
      <c r="S663" s="13">
        <f>IF(OR(R663="",J663=""),"",R663/J663-1)</f>
        <v/>
      </c>
      <c r="T663" s="14">
        <f>IF(OR(L663="",R663="",J663=""),"",SQRT(4+(L663^2-4)*(R663/J663)^2))</f>
        <v/>
      </c>
      <c r="U663" s="7" t="n"/>
      <c r="V663" s="7" t="n"/>
    </row>
    <row r="664">
      <c r="A664" s="7" t="inlineStr">
        <is>
          <t>c-1-10-i3</t>
        </is>
      </c>
      <c r="B664" s="7" t="inlineStr">
        <is>
          <t>1</t>
        </is>
      </c>
      <c r="C664" s="7" t="inlineStr">
        <is>
          <t>c</t>
        </is>
      </c>
      <c r="D664" s="7" t="inlineStr">
        <is>
          <t>c</t>
        </is>
      </c>
      <c r="E664" s="7" t="n">
        <v>10</v>
      </c>
      <c r="F664" s="7" t="n">
        <v>3</v>
      </c>
      <c r="G664" s="8" t="n"/>
      <c r="H664" s="27" t="n"/>
      <c r="I664" s="27" t="n"/>
      <c r="J664" s="8" t="n"/>
      <c r="K664" s="8" t="n"/>
      <c r="L664" s="10" t="n"/>
      <c r="M664" s="8" t="n"/>
      <c r="N664" s="11">
        <f>IF(OR(J664="",H664="",I664=""),"",J664/((I664-H664)*1440))</f>
        <v/>
      </c>
      <c r="O664" s="7" t="n"/>
      <c r="P664" s="7" t="n"/>
      <c r="Q664" s="7" t="n"/>
      <c r="R664" s="12" t="n"/>
      <c r="S664" s="13">
        <f>IF(OR(R664="",J664=""),"",R664/J664-1)</f>
        <v/>
      </c>
      <c r="T664" s="14">
        <f>IF(OR(L664="",R664="",J664=""),"",SQRT(4+(L664^2-4)*(R664/J664)^2))</f>
        <v/>
      </c>
      <c r="U664" s="7" t="n"/>
      <c r="V664" s="7" t="n"/>
    </row>
    <row r="665">
      <c r="A665" s="7" t="inlineStr">
        <is>
          <t>K-11/4-0.5-i1</t>
        </is>
      </c>
      <c r="B665" s="7" t="inlineStr">
        <is>
          <t>1 1/4</t>
        </is>
      </c>
      <c r="C665" s="7" t="inlineStr">
        <is>
          <t>K</t>
        </is>
      </c>
      <c r="D665" s="7" t="inlineStr">
        <is>
          <t>Copper K</t>
        </is>
      </c>
      <c r="E665" s="7" t="n">
        <v>0.5</v>
      </c>
      <c r="F665" s="7" t="n">
        <v>1</v>
      </c>
      <c r="G665" s="8" t="n"/>
      <c r="H665" s="27" t="n"/>
      <c r="I665" s="27" t="n"/>
      <c r="J665" s="8" t="n"/>
      <c r="K665" s="8" t="n"/>
      <c r="L665" s="10" t="n"/>
      <c r="M665" s="8" t="n"/>
      <c r="N665" s="11">
        <f>IF(OR(J665="",H665="",I665=""),"",J665/((I665-H665)*1440))</f>
        <v/>
      </c>
      <c r="O665" s="7" t="n"/>
      <c r="P665" s="7" t="n"/>
      <c r="Q665" s="7" t="n"/>
      <c r="R665" s="12" t="n"/>
      <c r="S665" s="13">
        <f>IF(OR(R665="",J665=""),"",R665/J665-1)</f>
        <v/>
      </c>
      <c r="T665" s="14">
        <f>IF(OR(L665="",R665="",J665=""),"",SQRT(4+(L665^2-4)*(R665/J665)^2))</f>
        <v/>
      </c>
      <c r="U665" s="7" t="n"/>
      <c r="V665" s="7" t="n"/>
    </row>
    <row r="666">
      <c r="A666" s="7" t="inlineStr">
        <is>
          <t>K-11/4-0.5-i2</t>
        </is>
      </c>
      <c r="B666" s="7" t="inlineStr">
        <is>
          <t>1 1/4</t>
        </is>
      </c>
      <c r="C666" s="7" t="inlineStr">
        <is>
          <t>K</t>
        </is>
      </c>
      <c r="D666" s="7" t="inlineStr">
        <is>
          <t>Copper K</t>
        </is>
      </c>
      <c r="E666" s="7" t="n">
        <v>0.5</v>
      </c>
      <c r="F666" s="7" t="n">
        <v>2</v>
      </c>
      <c r="G666" s="8" t="n"/>
      <c r="H666" s="27" t="n"/>
      <c r="I666" s="27" t="n"/>
      <c r="J666" s="8" t="n"/>
      <c r="K666" s="8" t="n"/>
      <c r="L666" s="10" t="n"/>
      <c r="M666" s="8" t="n"/>
      <c r="N666" s="11">
        <f>IF(OR(J666="",H666="",I666=""),"",J666/((I666-H666)*1440))</f>
        <v/>
      </c>
      <c r="O666" s="7" t="n"/>
      <c r="P666" s="7" t="n"/>
      <c r="Q666" s="7" t="n"/>
      <c r="R666" s="12" t="n"/>
      <c r="S666" s="13">
        <f>IF(OR(R666="",J666=""),"",R666/J666-1)</f>
        <v/>
      </c>
      <c r="T666" s="14">
        <f>IF(OR(L666="",R666="",J666=""),"",SQRT(4+(L666^2-4)*(R666/J666)^2))</f>
        <v/>
      </c>
      <c r="U666" s="7" t="n"/>
      <c r="V666" s="7" t="n"/>
    </row>
    <row r="667">
      <c r="A667" s="7" t="inlineStr">
        <is>
          <t>K-11/4-0.5-i3</t>
        </is>
      </c>
      <c r="B667" s="7" t="inlineStr">
        <is>
          <t>1 1/4</t>
        </is>
      </c>
      <c r="C667" s="7" t="inlineStr">
        <is>
          <t>K</t>
        </is>
      </c>
      <c r="D667" s="7" t="inlineStr">
        <is>
          <t>Copper K</t>
        </is>
      </c>
      <c r="E667" s="7" t="n">
        <v>0.5</v>
      </c>
      <c r="F667" s="7" t="n">
        <v>3</v>
      </c>
      <c r="G667" s="8" t="n"/>
      <c r="H667" s="27" t="n"/>
      <c r="I667" s="27" t="n"/>
      <c r="J667" s="8" t="n"/>
      <c r="K667" s="8" t="n"/>
      <c r="L667" s="10" t="n"/>
      <c r="M667" s="8" t="n"/>
      <c r="N667" s="11">
        <f>IF(OR(J667="",H667="",I667=""),"",J667/((I667-H667)*1440))</f>
        <v/>
      </c>
      <c r="O667" s="7" t="n"/>
      <c r="P667" s="7" t="n"/>
      <c r="Q667" s="7" t="n"/>
      <c r="R667" s="12" t="n"/>
      <c r="S667" s="13">
        <f>IF(OR(R667="",J667=""),"",R667/J667-1)</f>
        <v/>
      </c>
      <c r="T667" s="14">
        <f>IF(OR(L667="",R667="",J667=""),"",SQRT(4+(L667^2-4)*(R667/J667)^2))</f>
        <v/>
      </c>
      <c r="U667" s="7" t="n"/>
      <c r="V667" s="7" t="n"/>
    </row>
    <row r="668">
      <c r="A668" s="7" t="inlineStr">
        <is>
          <t>K-11/4-1-i1</t>
        </is>
      </c>
      <c r="B668" s="7" t="inlineStr">
        <is>
          <t>1 1/4</t>
        </is>
      </c>
      <c r="C668" s="7" t="inlineStr">
        <is>
          <t>K</t>
        </is>
      </c>
      <c r="D668" s="7" t="inlineStr">
        <is>
          <t>Copper K</t>
        </is>
      </c>
      <c r="E668" s="7" t="n">
        <v>1</v>
      </c>
      <c r="F668" s="7" t="n">
        <v>1</v>
      </c>
      <c r="G668" s="8" t="n"/>
      <c r="H668" s="27" t="n"/>
      <c r="I668" s="27" t="n"/>
      <c r="J668" s="8" t="n"/>
      <c r="K668" s="8" t="n"/>
      <c r="L668" s="10" t="n"/>
      <c r="M668" s="8" t="n"/>
      <c r="N668" s="11">
        <f>IF(OR(J668="",H668="",I668=""),"",J668/((I668-H668)*1440))</f>
        <v/>
      </c>
      <c r="O668" s="7" t="n"/>
      <c r="P668" s="7" t="n"/>
      <c r="Q668" s="7" t="n"/>
      <c r="R668" s="12" t="n"/>
      <c r="S668" s="13">
        <f>IF(OR(R668="",J668=""),"",R668/J668-1)</f>
        <v/>
      </c>
      <c r="T668" s="14">
        <f>IF(OR(L668="",R668="",J668=""),"",SQRT(4+(L668^2-4)*(R668/J668)^2))</f>
        <v/>
      </c>
      <c r="U668" s="7" t="n"/>
      <c r="V668" s="7" t="n"/>
    </row>
    <row r="669">
      <c r="A669" s="7" t="inlineStr">
        <is>
          <t>K-11/4-1-i2</t>
        </is>
      </c>
      <c r="B669" s="7" t="inlineStr">
        <is>
          <t>1 1/4</t>
        </is>
      </c>
      <c r="C669" s="7" t="inlineStr">
        <is>
          <t>K</t>
        </is>
      </c>
      <c r="D669" s="7" t="inlineStr">
        <is>
          <t>Copper K</t>
        </is>
      </c>
      <c r="E669" s="7" t="n">
        <v>1</v>
      </c>
      <c r="F669" s="7" t="n">
        <v>2</v>
      </c>
      <c r="G669" s="8" t="n"/>
      <c r="H669" s="27" t="n"/>
      <c r="I669" s="27" t="n"/>
      <c r="J669" s="8" t="n"/>
      <c r="K669" s="8" t="n"/>
      <c r="L669" s="10" t="n"/>
      <c r="M669" s="8" t="n"/>
      <c r="N669" s="11">
        <f>IF(OR(J669="",H669="",I669=""),"",J669/((I669-H669)*1440))</f>
        <v/>
      </c>
      <c r="O669" s="7" t="n"/>
      <c r="P669" s="7" t="n"/>
      <c r="Q669" s="7" t="n"/>
      <c r="R669" s="12" t="n"/>
      <c r="S669" s="13">
        <f>IF(OR(R669="",J669=""),"",R669/J669-1)</f>
        <v/>
      </c>
      <c r="T669" s="14">
        <f>IF(OR(L669="",R669="",J669=""),"",SQRT(4+(L669^2-4)*(R669/J669)^2))</f>
        <v/>
      </c>
      <c r="U669" s="7" t="n"/>
      <c r="V669" s="7" t="n"/>
    </row>
    <row r="670">
      <c r="A670" s="7" t="inlineStr">
        <is>
          <t>K-11/4-1-i3</t>
        </is>
      </c>
      <c r="B670" s="7" t="inlineStr">
        <is>
          <t>1 1/4</t>
        </is>
      </c>
      <c r="C670" s="7" t="inlineStr">
        <is>
          <t>K</t>
        </is>
      </c>
      <c r="D670" s="7" t="inlineStr">
        <is>
          <t>Copper K</t>
        </is>
      </c>
      <c r="E670" s="7" t="n">
        <v>1</v>
      </c>
      <c r="F670" s="7" t="n">
        <v>3</v>
      </c>
      <c r="G670" s="8" t="n"/>
      <c r="H670" s="27" t="n"/>
      <c r="I670" s="27" t="n"/>
      <c r="J670" s="8" t="n"/>
      <c r="K670" s="8" t="n"/>
      <c r="L670" s="10" t="n"/>
      <c r="M670" s="8" t="n"/>
      <c r="N670" s="11">
        <f>IF(OR(J670="",H670="",I670=""),"",J670/((I670-H670)*1440))</f>
        <v/>
      </c>
      <c r="O670" s="7" t="n"/>
      <c r="P670" s="7" t="n"/>
      <c r="Q670" s="7" t="n"/>
      <c r="R670" s="12" t="n"/>
      <c r="S670" s="13">
        <f>IF(OR(R670="",J670=""),"",R670/J670-1)</f>
        <v/>
      </c>
      <c r="T670" s="14">
        <f>IF(OR(L670="",R670="",J670=""),"",SQRT(4+(L670^2-4)*(R670/J670)^2))</f>
        <v/>
      </c>
      <c r="U670" s="7" t="n"/>
      <c r="V670" s="7" t="n"/>
    </row>
    <row r="671">
      <c r="A671" s="7" t="inlineStr">
        <is>
          <t>K-11/4-3-i1</t>
        </is>
      </c>
      <c r="B671" s="7" t="inlineStr">
        <is>
          <t>1 1/4</t>
        </is>
      </c>
      <c r="C671" s="7" t="inlineStr">
        <is>
          <t>K</t>
        </is>
      </c>
      <c r="D671" s="7" t="inlineStr">
        <is>
          <t>Copper K</t>
        </is>
      </c>
      <c r="E671" s="7" t="n">
        <v>3</v>
      </c>
      <c r="F671" s="7" t="n">
        <v>1</v>
      </c>
      <c r="G671" s="8" t="n"/>
      <c r="H671" s="27" t="n"/>
      <c r="I671" s="27" t="n"/>
      <c r="J671" s="8" t="n"/>
      <c r="K671" s="8" t="n"/>
      <c r="L671" s="10" t="n"/>
      <c r="M671" s="8" t="n"/>
      <c r="N671" s="11">
        <f>IF(OR(J671="",H671="",I671=""),"",J671/((I671-H671)*1440))</f>
        <v/>
      </c>
      <c r="O671" s="7" t="n"/>
      <c r="P671" s="7" t="n"/>
      <c r="Q671" s="7" t="n"/>
      <c r="R671" s="12" t="n"/>
      <c r="S671" s="13">
        <f>IF(OR(R671="",J671=""),"",R671/J671-1)</f>
        <v/>
      </c>
      <c r="T671" s="14">
        <f>IF(OR(L671="",R671="",J671=""),"",SQRT(4+(L671^2-4)*(R671/J671)^2))</f>
        <v/>
      </c>
      <c r="U671" s="7" t="n"/>
      <c r="V671" s="7" t="n"/>
    </row>
    <row r="672">
      <c r="A672" s="7" t="inlineStr">
        <is>
          <t>K-11/4-3-i2</t>
        </is>
      </c>
      <c r="B672" s="7" t="inlineStr">
        <is>
          <t>1 1/4</t>
        </is>
      </c>
      <c r="C672" s="7" t="inlineStr">
        <is>
          <t>K</t>
        </is>
      </c>
      <c r="D672" s="7" t="inlineStr">
        <is>
          <t>Copper K</t>
        </is>
      </c>
      <c r="E672" s="7" t="n">
        <v>3</v>
      </c>
      <c r="F672" s="7" t="n">
        <v>2</v>
      </c>
      <c r="G672" s="8" t="n"/>
      <c r="H672" s="27" t="n"/>
      <c r="I672" s="27" t="n"/>
      <c r="J672" s="8" t="n"/>
      <c r="K672" s="8" t="n"/>
      <c r="L672" s="10" t="n"/>
      <c r="M672" s="8" t="n"/>
      <c r="N672" s="11">
        <f>IF(OR(J672="",H672="",I672=""),"",J672/((I672-H672)*1440))</f>
        <v/>
      </c>
      <c r="O672" s="7" t="n"/>
      <c r="P672" s="7" t="n"/>
      <c r="Q672" s="7" t="n"/>
      <c r="R672" s="12" t="n"/>
      <c r="S672" s="13">
        <f>IF(OR(R672="",J672=""),"",R672/J672-1)</f>
        <v/>
      </c>
      <c r="T672" s="14">
        <f>IF(OR(L672="",R672="",J672=""),"",SQRT(4+(L672^2-4)*(R672/J672)^2))</f>
        <v/>
      </c>
      <c r="U672" s="7" t="n"/>
      <c r="V672" s="7" t="n"/>
    </row>
    <row r="673">
      <c r="A673" s="7" t="inlineStr">
        <is>
          <t>K-11/4-3-i3</t>
        </is>
      </c>
      <c r="B673" s="7" t="inlineStr">
        <is>
          <t>1 1/4</t>
        </is>
      </c>
      <c r="C673" s="7" t="inlineStr">
        <is>
          <t>K</t>
        </is>
      </c>
      <c r="D673" s="7" t="inlineStr">
        <is>
          <t>Copper K</t>
        </is>
      </c>
      <c r="E673" s="7" t="n">
        <v>3</v>
      </c>
      <c r="F673" s="7" t="n">
        <v>3</v>
      </c>
      <c r="G673" s="8" t="n"/>
      <c r="H673" s="27" t="n"/>
      <c r="I673" s="27" t="n"/>
      <c r="J673" s="8" t="n"/>
      <c r="K673" s="8" t="n"/>
      <c r="L673" s="10" t="n"/>
      <c r="M673" s="8" t="n"/>
      <c r="N673" s="11">
        <f>IF(OR(J673="",H673="",I673=""),"",J673/((I673-H673)*1440))</f>
        <v/>
      </c>
      <c r="O673" s="7" t="n"/>
      <c r="P673" s="7" t="n"/>
      <c r="Q673" s="7" t="n"/>
      <c r="R673" s="12" t="n"/>
      <c r="S673" s="13">
        <f>IF(OR(R673="",J673=""),"",R673/J673-1)</f>
        <v/>
      </c>
      <c r="T673" s="14">
        <f>IF(OR(L673="",R673="",J673=""),"",SQRT(4+(L673^2-4)*(R673/J673)^2))</f>
        <v/>
      </c>
      <c r="U673" s="7" t="n"/>
      <c r="V673" s="7" t="n"/>
    </row>
    <row r="674">
      <c r="A674" s="7" t="inlineStr">
        <is>
          <t>K-11/4-5-i1</t>
        </is>
      </c>
      <c r="B674" s="7" t="inlineStr">
        <is>
          <t>1 1/4</t>
        </is>
      </c>
      <c r="C674" s="7" t="inlineStr">
        <is>
          <t>K</t>
        </is>
      </c>
      <c r="D674" s="7" t="inlineStr">
        <is>
          <t>Copper K</t>
        </is>
      </c>
      <c r="E674" s="7" t="n">
        <v>5</v>
      </c>
      <c r="F674" s="7" t="n">
        <v>1</v>
      </c>
      <c r="G674" s="8" t="n"/>
      <c r="H674" s="27" t="n"/>
      <c r="I674" s="27" t="n"/>
      <c r="J674" s="8" t="n"/>
      <c r="K674" s="8" t="n"/>
      <c r="L674" s="10" t="n"/>
      <c r="M674" s="8" t="n"/>
      <c r="N674" s="11">
        <f>IF(OR(J674="",H674="",I674=""),"",J674/((I674-H674)*1440))</f>
        <v/>
      </c>
      <c r="O674" s="7" t="n"/>
      <c r="P674" s="7" t="n"/>
      <c r="Q674" s="7" t="n"/>
      <c r="R674" s="12" t="n"/>
      <c r="S674" s="13">
        <f>IF(OR(R674="",J674=""),"",R674/J674-1)</f>
        <v/>
      </c>
      <c r="T674" s="14">
        <f>IF(OR(L674="",R674="",J674=""),"",SQRT(4+(L674^2-4)*(R674/J674)^2))</f>
        <v/>
      </c>
      <c r="U674" s="7" t="n"/>
      <c r="V674" s="7" t="n"/>
    </row>
    <row r="675">
      <c r="A675" s="7" t="inlineStr">
        <is>
          <t>K-11/4-5-i2</t>
        </is>
      </c>
      <c r="B675" s="7" t="inlineStr">
        <is>
          <t>1 1/4</t>
        </is>
      </c>
      <c r="C675" s="7" t="inlineStr">
        <is>
          <t>K</t>
        </is>
      </c>
      <c r="D675" s="7" t="inlineStr">
        <is>
          <t>Copper K</t>
        </is>
      </c>
      <c r="E675" s="7" t="n">
        <v>5</v>
      </c>
      <c r="F675" s="7" t="n">
        <v>2</v>
      </c>
      <c r="G675" s="8" t="n"/>
      <c r="H675" s="27" t="n"/>
      <c r="I675" s="27" t="n"/>
      <c r="J675" s="8" t="n"/>
      <c r="K675" s="8" t="n"/>
      <c r="L675" s="10" t="n"/>
      <c r="M675" s="8" t="n"/>
      <c r="N675" s="11">
        <f>IF(OR(J675="",H675="",I675=""),"",J675/((I675-H675)*1440))</f>
        <v/>
      </c>
      <c r="O675" s="7" t="n"/>
      <c r="P675" s="7" t="n"/>
      <c r="Q675" s="7" t="n"/>
      <c r="R675" s="12" t="n"/>
      <c r="S675" s="13">
        <f>IF(OR(R675="",J675=""),"",R675/J675-1)</f>
        <v/>
      </c>
      <c r="T675" s="14">
        <f>IF(OR(L675="",R675="",J675=""),"",SQRT(4+(L675^2-4)*(R675/J675)^2))</f>
        <v/>
      </c>
      <c r="U675" s="7" t="n"/>
      <c r="V675" s="7" t="n"/>
    </row>
    <row r="676">
      <c r="A676" s="7" t="inlineStr">
        <is>
          <t>K-11/4-5-i3</t>
        </is>
      </c>
      <c r="B676" s="7" t="inlineStr">
        <is>
          <t>1 1/4</t>
        </is>
      </c>
      <c r="C676" s="7" t="inlineStr">
        <is>
          <t>K</t>
        </is>
      </c>
      <c r="D676" s="7" t="inlineStr">
        <is>
          <t>Copper K</t>
        </is>
      </c>
      <c r="E676" s="7" t="n">
        <v>5</v>
      </c>
      <c r="F676" s="7" t="n">
        <v>3</v>
      </c>
      <c r="G676" s="8" t="n"/>
      <c r="H676" s="27" t="n"/>
      <c r="I676" s="27" t="n"/>
      <c r="J676" s="8" t="n"/>
      <c r="K676" s="8" t="n"/>
      <c r="L676" s="10" t="n"/>
      <c r="M676" s="8" t="n"/>
      <c r="N676" s="11">
        <f>IF(OR(J676="",H676="",I676=""),"",J676/((I676-H676)*1440))</f>
        <v/>
      </c>
      <c r="O676" s="7" t="n"/>
      <c r="P676" s="7" t="n"/>
      <c r="Q676" s="7" t="n"/>
      <c r="R676" s="12" t="n"/>
      <c r="S676" s="13">
        <f>IF(OR(R676="",J676=""),"",R676/J676-1)</f>
        <v/>
      </c>
      <c r="T676" s="14">
        <f>IF(OR(L676="",R676="",J676=""),"",SQRT(4+(L676^2-4)*(R676/J676)^2))</f>
        <v/>
      </c>
      <c r="U676" s="7" t="n"/>
      <c r="V676" s="7" t="n"/>
    </row>
    <row r="677">
      <c r="A677" s="7" t="inlineStr">
        <is>
          <t>K-11/4-10-i1</t>
        </is>
      </c>
      <c r="B677" s="7" t="inlineStr">
        <is>
          <t>1 1/4</t>
        </is>
      </c>
      <c r="C677" s="7" t="inlineStr">
        <is>
          <t>K</t>
        </is>
      </c>
      <c r="D677" s="7" t="inlineStr">
        <is>
          <t>Copper K</t>
        </is>
      </c>
      <c r="E677" s="7" t="n">
        <v>10</v>
      </c>
      <c r="F677" s="7" t="n">
        <v>1</v>
      </c>
      <c r="G677" s="8" t="n"/>
      <c r="H677" s="27" t="n"/>
      <c r="I677" s="27" t="n"/>
      <c r="J677" s="8" t="n"/>
      <c r="K677" s="8" t="n"/>
      <c r="L677" s="10" t="n"/>
      <c r="M677" s="8" t="n"/>
      <c r="N677" s="11">
        <f>IF(OR(J677="",H677="",I677=""),"",J677/((I677-H677)*1440))</f>
        <v/>
      </c>
      <c r="O677" s="7" t="n"/>
      <c r="P677" s="7" t="n"/>
      <c r="Q677" s="7" t="n"/>
      <c r="R677" s="12" t="n"/>
      <c r="S677" s="13">
        <f>IF(OR(R677="",J677=""),"",R677/J677-1)</f>
        <v/>
      </c>
      <c r="T677" s="14">
        <f>IF(OR(L677="",R677="",J677=""),"",SQRT(4+(L677^2-4)*(R677/J677)^2))</f>
        <v/>
      </c>
      <c r="U677" s="7" t="n"/>
      <c r="V677" s="7" t="n"/>
    </row>
    <row r="678">
      <c r="A678" s="7" t="inlineStr">
        <is>
          <t>K-11/4-10-i2</t>
        </is>
      </c>
      <c r="B678" s="7" t="inlineStr">
        <is>
          <t>1 1/4</t>
        </is>
      </c>
      <c r="C678" s="7" t="inlineStr">
        <is>
          <t>K</t>
        </is>
      </c>
      <c r="D678" s="7" t="inlineStr">
        <is>
          <t>Copper K</t>
        </is>
      </c>
      <c r="E678" s="7" t="n">
        <v>10</v>
      </c>
      <c r="F678" s="7" t="n">
        <v>2</v>
      </c>
      <c r="G678" s="8" t="n"/>
      <c r="H678" s="27" t="n"/>
      <c r="I678" s="27" t="n"/>
      <c r="J678" s="8" t="n"/>
      <c r="K678" s="8" t="n"/>
      <c r="L678" s="10" t="n"/>
      <c r="M678" s="8" t="n"/>
      <c r="N678" s="11">
        <f>IF(OR(J678="",H678="",I678=""),"",J678/((I678-H678)*1440))</f>
        <v/>
      </c>
      <c r="O678" s="7" t="n"/>
      <c r="P678" s="7" t="n"/>
      <c r="Q678" s="7" t="n"/>
      <c r="R678" s="12" t="n"/>
      <c r="S678" s="13">
        <f>IF(OR(R678="",J678=""),"",R678/J678-1)</f>
        <v/>
      </c>
      <c r="T678" s="14">
        <f>IF(OR(L678="",R678="",J678=""),"",SQRT(4+(L678^2-4)*(R678/J678)^2))</f>
        <v/>
      </c>
      <c r="U678" s="7" t="n"/>
      <c r="V678" s="7" t="n"/>
    </row>
    <row r="679">
      <c r="A679" s="7" t="inlineStr">
        <is>
          <t>K-11/4-10-i3</t>
        </is>
      </c>
      <c r="B679" s="7" t="inlineStr">
        <is>
          <t>1 1/4</t>
        </is>
      </c>
      <c r="C679" s="7" t="inlineStr">
        <is>
          <t>K</t>
        </is>
      </c>
      <c r="D679" s="7" t="inlineStr">
        <is>
          <t>Copper K</t>
        </is>
      </c>
      <c r="E679" s="7" t="n">
        <v>10</v>
      </c>
      <c r="F679" s="7" t="n">
        <v>3</v>
      </c>
      <c r="G679" s="8" t="n"/>
      <c r="H679" s="27" t="n"/>
      <c r="I679" s="27" t="n"/>
      <c r="J679" s="8" t="n"/>
      <c r="K679" s="8" t="n"/>
      <c r="L679" s="10" t="n"/>
      <c r="M679" s="8" t="n"/>
      <c r="N679" s="11">
        <f>IF(OR(J679="",H679="",I679=""),"",J679/((I679-H679)*1440))</f>
        <v/>
      </c>
      <c r="O679" s="7" t="n"/>
      <c r="P679" s="7" t="n"/>
      <c r="Q679" s="7" t="n"/>
      <c r="R679" s="12" t="n"/>
      <c r="S679" s="13">
        <f>IF(OR(R679="",J679=""),"",R679/J679-1)</f>
        <v/>
      </c>
      <c r="T679" s="14">
        <f>IF(OR(L679="",R679="",J679=""),"",SQRT(4+(L679^2-4)*(R679/J679)^2))</f>
        <v/>
      </c>
      <c r="U679" s="7" t="n"/>
      <c r="V679" s="7" t="n"/>
    </row>
    <row r="680">
      <c r="A680" s="7" t="inlineStr">
        <is>
          <t>L-11/4-0.5-i1</t>
        </is>
      </c>
      <c r="B680" s="7" t="inlineStr">
        <is>
          <t>1 1/4</t>
        </is>
      </c>
      <c r="C680" s="7" t="inlineStr">
        <is>
          <t>L</t>
        </is>
      </c>
      <c r="D680" s="7" t="inlineStr">
        <is>
          <t>Copper L</t>
        </is>
      </c>
      <c r="E680" s="7" t="n">
        <v>0.5</v>
      </c>
      <c r="F680" s="7" t="n">
        <v>1</v>
      </c>
      <c r="G680" s="8" t="n"/>
      <c r="H680" s="27" t="n"/>
      <c r="I680" s="27" t="n"/>
      <c r="J680" s="8" t="n"/>
      <c r="K680" s="8" t="n"/>
      <c r="L680" s="10" t="n"/>
      <c r="M680" s="8" t="n"/>
      <c r="N680" s="11">
        <f>IF(OR(J680="",H680="",I680=""),"",J680/((I680-H680)*1440))</f>
        <v/>
      </c>
      <c r="O680" s="7" t="n"/>
      <c r="P680" s="7" t="n"/>
      <c r="Q680" s="7" t="n"/>
      <c r="R680" s="12" t="n"/>
      <c r="S680" s="13">
        <f>IF(OR(R680="",J680=""),"",R680/J680-1)</f>
        <v/>
      </c>
      <c r="T680" s="14">
        <f>IF(OR(L680="",R680="",J680=""),"",SQRT(4+(L680^2-4)*(R680/J680)^2))</f>
        <v/>
      </c>
      <c r="U680" s="7" t="n"/>
      <c r="V680" s="7" t="n"/>
    </row>
    <row r="681">
      <c r="A681" s="7" t="inlineStr">
        <is>
          <t>L-11/4-0.5-i2</t>
        </is>
      </c>
      <c r="B681" s="7" t="inlineStr">
        <is>
          <t>1 1/4</t>
        </is>
      </c>
      <c r="C681" s="7" t="inlineStr">
        <is>
          <t>L</t>
        </is>
      </c>
      <c r="D681" s="7" t="inlineStr">
        <is>
          <t>Copper L</t>
        </is>
      </c>
      <c r="E681" s="7" t="n">
        <v>0.5</v>
      </c>
      <c r="F681" s="7" t="n">
        <v>2</v>
      </c>
      <c r="G681" s="8" t="n"/>
      <c r="H681" s="27" t="n"/>
      <c r="I681" s="27" t="n"/>
      <c r="J681" s="8" t="n"/>
      <c r="K681" s="8" t="n"/>
      <c r="L681" s="10" t="n"/>
      <c r="M681" s="8" t="n"/>
      <c r="N681" s="11">
        <f>IF(OR(J681="",H681="",I681=""),"",J681/((I681-H681)*1440))</f>
        <v/>
      </c>
      <c r="O681" s="7" t="n"/>
      <c r="P681" s="7" t="n"/>
      <c r="Q681" s="7" t="n"/>
      <c r="R681" s="12" t="n"/>
      <c r="S681" s="13">
        <f>IF(OR(R681="",J681=""),"",R681/J681-1)</f>
        <v/>
      </c>
      <c r="T681" s="14">
        <f>IF(OR(L681="",R681="",J681=""),"",SQRT(4+(L681^2-4)*(R681/J681)^2))</f>
        <v/>
      </c>
      <c r="U681" s="7" t="n"/>
      <c r="V681" s="7" t="n"/>
    </row>
    <row r="682">
      <c r="A682" s="7" t="inlineStr">
        <is>
          <t>L-11/4-0.5-i3</t>
        </is>
      </c>
      <c r="B682" s="7" t="inlineStr">
        <is>
          <t>1 1/4</t>
        </is>
      </c>
      <c r="C682" s="7" t="inlineStr">
        <is>
          <t>L</t>
        </is>
      </c>
      <c r="D682" s="7" t="inlineStr">
        <is>
          <t>Copper L</t>
        </is>
      </c>
      <c r="E682" s="7" t="n">
        <v>0.5</v>
      </c>
      <c r="F682" s="7" t="n">
        <v>3</v>
      </c>
      <c r="G682" s="8" t="n"/>
      <c r="H682" s="27" t="n"/>
      <c r="I682" s="27" t="n"/>
      <c r="J682" s="8" t="n"/>
      <c r="K682" s="8" t="n"/>
      <c r="L682" s="10" t="n"/>
      <c r="M682" s="8" t="n"/>
      <c r="N682" s="11">
        <f>IF(OR(J682="",H682="",I682=""),"",J682/((I682-H682)*1440))</f>
        <v/>
      </c>
      <c r="O682" s="7" t="n"/>
      <c r="P682" s="7" t="n"/>
      <c r="Q682" s="7" t="n"/>
      <c r="R682" s="12" t="n"/>
      <c r="S682" s="13">
        <f>IF(OR(R682="",J682=""),"",R682/J682-1)</f>
        <v/>
      </c>
      <c r="T682" s="14">
        <f>IF(OR(L682="",R682="",J682=""),"",SQRT(4+(L682^2-4)*(R682/J682)^2))</f>
        <v/>
      </c>
      <c r="U682" s="7" t="n"/>
      <c r="V682" s="7" t="n"/>
    </row>
    <row r="683">
      <c r="A683" s="7" t="inlineStr">
        <is>
          <t>L-11/4-1-i1</t>
        </is>
      </c>
      <c r="B683" s="7" t="inlineStr">
        <is>
          <t>1 1/4</t>
        </is>
      </c>
      <c r="C683" s="7" t="inlineStr">
        <is>
          <t>L</t>
        </is>
      </c>
      <c r="D683" s="7" t="inlineStr">
        <is>
          <t>Copper L</t>
        </is>
      </c>
      <c r="E683" s="7" t="n">
        <v>1</v>
      </c>
      <c r="F683" s="7" t="n">
        <v>1</v>
      </c>
      <c r="G683" s="8" t="n"/>
      <c r="H683" s="27" t="n"/>
      <c r="I683" s="27" t="n"/>
      <c r="J683" s="8" t="n"/>
      <c r="K683" s="8" t="n"/>
      <c r="L683" s="10" t="n"/>
      <c r="M683" s="8" t="n"/>
      <c r="N683" s="11">
        <f>IF(OR(J683="",H683="",I683=""),"",J683/((I683-H683)*1440))</f>
        <v/>
      </c>
      <c r="O683" s="7" t="n"/>
      <c r="P683" s="7" t="n"/>
      <c r="Q683" s="7" t="n"/>
      <c r="R683" s="12" t="n"/>
      <c r="S683" s="13">
        <f>IF(OR(R683="",J683=""),"",R683/J683-1)</f>
        <v/>
      </c>
      <c r="T683" s="14">
        <f>IF(OR(L683="",R683="",J683=""),"",SQRT(4+(L683^2-4)*(R683/J683)^2))</f>
        <v/>
      </c>
      <c r="U683" s="7" t="n"/>
      <c r="V683" s="7" t="n"/>
    </row>
    <row r="684">
      <c r="A684" s="7" t="inlineStr">
        <is>
          <t>L-11/4-1-i2</t>
        </is>
      </c>
      <c r="B684" s="7" t="inlineStr">
        <is>
          <t>1 1/4</t>
        </is>
      </c>
      <c r="C684" s="7" t="inlineStr">
        <is>
          <t>L</t>
        </is>
      </c>
      <c r="D684" s="7" t="inlineStr">
        <is>
          <t>Copper L</t>
        </is>
      </c>
      <c r="E684" s="7" t="n">
        <v>1</v>
      </c>
      <c r="F684" s="7" t="n">
        <v>2</v>
      </c>
      <c r="G684" s="8" t="n"/>
      <c r="H684" s="27" t="n"/>
      <c r="I684" s="27" t="n"/>
      <c r="J684" s="8" t="n"/>
      <c r="K684" s="8" t="n"/>
      <c r="L684" s="10" t="n"/>
      <c r="M684" s="8" t="n"/>
      <c r="N684" s="11">
        <f>IF(OR(J684="",H684="",I684=""),"",J684/((I684-H684)*1440))</f>
        <v/>
      </c>
      <c r="O684" s="7" t="n"/>
      <c r="P684" s="7" t="n"/>
      <c r="Q684" s="7" t="n"/>
      <c r="R684" s="12" t="n"/>
      <c r="S684" s="13">
        <f>IF(OR(R684="",J684=""),"",R684/J684-1)</f>
        <v/>
      </c>
      <c r="T684" s="14">
        <f>IF(OR(L684="",R684="",J684=""),"",SQRT(4+(L684^2-4)*(R684/J684)^2))</f>
        <v/>
      </c>
      <c r="U684" s="7" t="n"/>
      <c r="V684" s="7" t="n"/>
    </row>
    <row r="685">
      <c r="A685" s="7" t="inlineStr">
        <is>
          <t>L-11/4-1-i3</t>
        </is>
      </c>
      <c r="B685" s="7" t="inlineStr">
        <is>
          <t>1 1/4</t>
        </is>
      </c>
      <c r="C685" s="7" t="inlineStr">
        <is>
          <t>L</t>
        </is>
      </c>
      <c r="D685" s="7" t="inlineStr">
        <is>
          <t>Copper L</t>
        </is>
      </c>
      <c r="E685" s="7" t="n">
        <v>1</v>
      </c>
      <c r="F685" s="7" t="n">
        <v>3</v>
      </c>
      <c r="G685" s="8" t="n"/>
      <c r="H685" s="27" t="n"/>
      <c r="I685" s="27" t="n"/>
      <c r="J685" s="8" t="n"/>
      <c r="K685" s="8" t="n"/>
      <c r="L685" s="10" t="n"/>
      <c r="M685" s="8" t="n"/>
      <c r="N685" s="11">
        <f>IF(OR(J685="",H685="",I685=""),"",J685/((I685-H685)*1440))</f>
        <v/>
      </c>
      <c r="O685" s="7" t="n"/>
      <c r="P685" s="7" t="n"/>
      <c r="Q685" s="7" t="n"/>
      <c r="R685" s="12" t="n"/>
      <c r="S685" s="13">
        <f>IF(OR(R685="",J685=""),"",R685/J685-1)</f>
        <v/>
      </c>
      <c r="T685" s="14">
        <f>IF(OR(L685="",R685="",J685=""),"",SQRT(4+(L685^2-4)*(R685/J685)^2))</f>
        <v/>
      </c>
      <c r="U685" s="7" t="n"/>
      <c r="V685" s="7" t="n"/>
    </row>
    <row r="686">
      <c r="A686" s="7" t="inlineStr">
        <is>
          <t>L-11/4-3-i1</t>
        </is>
      </c>
      <c r="B686" s="7" t="inlineStr">
        <is>
          <t>1 1/4</t>
        </is>
      </c>
      <c r="C686" s="7" t="inlineStr">
        <is>
          <t>L</t>
        </is>
      </c>
      <c r="D686" s="7" t="inlineStr">
        <is>
          <t>Copper L</t>
        </is>
      </c>
      <c r="E686" s="7" t="n">
        <v>3</v>
      </c>
      <c r="F686" s="7" t="n">
        <v>1</v>
      </c>
      <c r="G686" s="8" t="n"/>
      <c r="H686" s="27" t="n"/>
      <c r="I686" s="27" t="n"/>
      <c r="J686" s="8" t="n"/>
      <c r="K686" s="8" t="n"/>
      <c r="L686" s="10" t="n"/>
      <c r="M686" s="8" t="n"/>
      <c r="N686" s="11">
        <f>IF(OR(J686="",H686="",I686=""),"",J686/((I686-H686)*1440))</f>
        <v/>
      </c>
      <c r="O686" s="7" t="n"/>
      <c r="P686" s="7" t="n"/>
      <c r="Q686" s="7" t="n"/>
      <c r="R686" s="12" t="n"/>
      <c r="S686" s="13">
        <f>IF(OR(R686="",J686=""),"",R686/J686-1)</f>
        <v/>
      </c>
      <c r="T686" s="14">
        <f>IF(OR(L686="",R686="",J686=""),"",SQRT(4+(L686^2-4)*(R686/J686)^2))</f>
        <v/>
      </c>
      <c r="U686" s="7" t="n"/>
      <c r="V686" s="7" t="n"/>
    </row>
    <row r="687">
      <c r="A687" s="7" t="inlineStr">
        <is>
          <t>L-11/4-3-i2</t>
        </is>
      </c>
      <c r="B687" s="7" t="inlineStr">
        <is>
          <t>1 1/4</t>
        </is>
      </c>
      <c r="C687" s="7" t="inlineStr">
        <is>
          <t>L</t>
        </is>
      </c>
      <c r="D687" s="7" t="inlineStr">
        <is>
          <t>Copper L</t>
        </is>
      </c>
      <c r="E687" s="7" t="n">
        <v>3</v>
      </c>
      <c r="F687" s="7" t="n">
        <v>2</v>
      </c>
      <c r="G687" s="8" t="n"/>
      <c r="H687" s="27" t="n"/>
      <c r="I687" s="27" t="n"/>
      <c r="J687" s="8" t="n"/>
      <c r="K687" s="8" t="n"/>
      <c r="L687" s="10" t="n"/>
      <c r="M687" s="8" t="n"/>
      <c r="N687" s="11">
        <f>IF(OR(J687="",H687="",I687=""),"",J687/((I687-H687)*1440))</f>
        <v/>
      </c>
      <c r="O687" s="7" t="n"/>
      <c r="P687" s="7" t="n"/>
      <c r="Q687" s="7" t="n"/>
      <c r="R687" s="12" t="n"/>
      <c r="S687" s="13">
        <f>IF(OR(R687="",J687=""),"",R687/J687-1)</f>
        <v/>
      </c>
      <c r="T687" s="14">
        <f>IF(OR(L687="",R687="",J687=""),"",SQRT(4+(L687^2-4)*(R687/J687)^2))</f>
        <v/>
      </c>
      <c r="U687" s="7" t="n"/>
      <c r="V687" s="7" t="n"/>
    </row>
    <row r="688">
      <c r="A688" s="7" t="inlineStr">
        <is>
          <t>L-11/4-3-i3</t>
        </is>
      </c>
      <c r="B688" s="7" t="inlineStr">
        <is>
          <t>1 1/4</t>
        </is>
      </c>
      <c r="C688" s="7" t="inlineStr">
        <is>
          <t>L</t>
        </is>
      </c>
      <c r="D688" s="7" t="inlineStr">
        <is>
          <t>Copper L</t>
        </is>
      </c>
      <c r="E688" s="7" t="n">
        <v>3</v>
      </c>
      <c r="F688" s="7" t="n">
        <v>3</v>
      </c>
      <c r="G688" s="8" t="n"/>
      <c r="H688" s="27" t="n"/>
      <c r="I688" s="27" t="n"/>
      <c r="J688" s="8" t="n"/>
      <c r="K688" s="8" t="n"/>
      <c r="L688" s="10" t="n"/>
      <c r="M688" s="8" t="n"/>
      <c r="N688" s="11">
        <f>IF(OR(J688="",H688="",I688=""),"",J688/((I688-H688)*1440))</f>
        <v/>
      </c>
      <c r="O688" s="7" t="n"/>
      <c r="P688" s="7" t="n"/>
      <c r="Q688" s="7" t="n"/>
      <c r="R688" s="12" t="n"/>
      <c r="S688" s="13">
        <f>IF(OR(R688="",J688=""),"",R688/J688-1)</f>
        <v/>
      </c>
      <c r="T688" s="14">
        <f>IF(OR(L688="",R688="",J688=""),"",SQRT(4+(L688^2-4)*(R688/J688)^2))</f>
        <v/>
      </c>
      <c r="U688" s="7" t="n"/>
      <c r="V688" s="7" t="n"/>
    </row>
    <row r="689">
      <c r="A689" s="7" t="inlineStr">
        <is>
          <t>L-11/4-5-i1</t>
        </is>
      </c>
      <c r="B689" s="7" t="inlineStr">
        <is>
          <t>1 1/4</t>
        </is>
      </c>
      <c r="C689" s="7" t="inlineStr">
        <is>
          <t>L</t>
        </is>
      </c>
      <c r="D689" s="7" t="inlineStr">
        <is>
          <t>Copper L</t>
        </is>
      </c>
      <c r="E689" s="7" t="n">
        <v>5</v>
      </c>
      <c r="F689" s="7" t="n">
        <v>1</v>
      </c>
      <c r="G689" s="8" t="n"/>
      <c r="H689" s="27" t="n"/>
      <c r="I689" s="27" t="n"/>
      <c r="J689" s="8" t="n"/>
      <c r="K689" s="8" t="n"/>
      <c r="L689" s="10" t="n"/>
      <c r="M689" s="8" t="n"/>
      <c r="N689" s="11">
        <f>IF(OR(J689="",H689="",I689=""),"",J689/((I689-H689)*1440))</f>
        <v/>
      </c>
      <c r="O689" s="7" t="n"/>
      <c r="P689" s="7" t="n"/>
      <c r="Q689" s="7" t="n"/>
      <c r="R689" s="12" t="n"/>
      <c r="S689" s="13">
        <f>IF(OR(R689="",J689=""),"",R689/J689-1)</f>
        <v/>
      </c>
      <c r="T689" s="14">
        <f>IF(OR(L689="",R689="",J689=""),"",SQRT(4+(L689^2-4)*(R689/J689)^2))</f>
        <v/>
      </c>
      <c r="U689" s="7" t="n"/>
      <c r="V689" s="7" t="n"/>
    </row>
    <row r="690">
      <c r="A690" s="7" t="inlineStr">
        <is>
          <t>L-11/4-5-i2</t>
        </is>
      </c>
      <c r="B690" s="7" t="inlineStr">
        <is>
          <t>1 1/4</t>
        </is>
      </c>
      <c r="C690" s="7" t="inlineStr">
        <is>
          <t>L</t>
        </is>
      </c>
      <c r="D690" s="7" t="inlineStr">
        <is>
          <t>Copper L</t>
        </is>
      </c>
      <c r="E690" s="7" t="n">
        <v>5</v>
      </c>
      <c r="F690" s="7" t="n">
        <v>2</v>
      </c>
      <c r="G690" s="8" t="n"/>
      <c r="H690" s="27" t="n"/>
      <c r="I690" s="27" t="n"/>
      <c r="J690" s="8" t="n"/>
      <c r="K690" s="8" t="n"/>
      <c r="L690" s="10" t="n"/>
      <c r="M690" s="8" t="n"/>
      <c r="N690" s="11">
        <f>IF(OR(J690="",H690="",I690=""),"",J690/((I690-H690)*1440))</f>
        <v/>
      </c>
      <c r="O690" s="7" t="n"/>
      <c r="P690" s="7" t="n"/>
      <c r="Q690" s="7" t="n"/>
      <c r="R690" s="12" t="n"/>
      <c r="S690" s="13">
        <f>IF(OR(R690="",J690=""),"",R690/J690-1)</f>
        <v/>
      </c>
      <c r="T690" s="14">
        <f>IF(OR(L690="",R690="",J690=""),"",SQRT(4+(L690^2-4)*(R690/J690)^2))</f>
        <v/>
      </c>
      <c r="U690" s="7" t="n"/>
      <c r="V690" s="7" t="n"/>
    </row>
    <row r="691">
      <c r="A691" s="7" t="inlineStr">
        <is>
          <t>L-11/4-5-i3</t>
        </is>
      </c>
      <c r="B691" s="7" t="inlineStr">
        <is>
          <t>1 1/4</t>
        </is>
      </c>
      <c r="C691" s="7" t="inlineStr">
        <is>
          <t>L</t>
        </is>
      </c>
      <c r="D691" s="7" t="inlineStr">
        <is>
          <t>Copper L</t>
        </is>
      </c>
      <c r="E691" s="7" t="n">
        <v>5</v>
      </c>
      <c r="F691" s="7" t="n">
        <v>3</v>
      </c>
      <c r="G691" s="8" t="n"/>
      <c r="H691" s="27" t="n"/>
      <c r="I691" s="27" t="n"/>
      <c r="J691" s="8" t="n"/>
      <c r="K691" s="8" t="n"/>
      <c r="L691" s="10" t="n"/>
      <c r="M691" s="8" t="n"/>
      <c r="N691" s="11">
        <f>IF(OR(J691="",H691="",I691=""),"",J691/((I691-H691)*1440))</f>
        <v/>
      </c>
      <c r="O691" s="7" t="n"/>
      <c r="P691" s="7" t="n"/>
      <c r="Q691" s="7" t="n"/>
      <c r="R691" s="12" t="n"/>
      <c r="S691" s="13">
        <f>IF(OR(R691="",J691=""),"",R691/J691-1)</f>
        <v/>
      </c>
      <c r="T691" s="14">
        <f>IF(OR(L691="",R691="",J691=""),"",SQRT(4+(L691^2-4)*(R691/J691)^2))</f>
        <v/>
      </c>
      <c r="U691" s="7" t="n"/>
      <c r="V691" s="7" t="n"/>
    </row>
    <row r="692">
      <c r="A692" s="7" t="inlineStr">
        <is>
          <t>L-11/4-10-i1</t>
        </is>
      </c>
      <c r="B692" s="7" t="inlineStr">
        <is>
          <t>1 1/4</t>
        </is>
      </c>
      <c r="C692" s="7" t="inlineStr">
        <is>
          <t>L</t>
        </is>
      </c>
      <c r="D692" s="7" t="inlineStr">
        <is>
          <t>Copper L</t>
        </is>
      </c>
      <c r="E692" s="7" t="n">
        <v>10</v>
      </c>
      <c r="F692" s="7" t="n">
        <v>1</v>
      </c>
      <c r="G692" s="8" t="n"/>
      <c r="H692" s="27" t="n"/>
      <c r="I692" s="27" t="n"/>
      <c r="J692" s="8" t="n"/>
      <c r="K692" s="8" t="n"/>
      <c r="L692" s="10" t="n"/>
      <c r="M692" s="8" t="n"/>
      <c r="N692" s="11">
        <f>IF(OR(J692="",H692="",I692=""),"",J692/((I692-H692)*1440))</f>
        <v/>
      </c>
      <c r="O692" s="7" t="n"/>
      <c r="P692" s="7" t="n"/>
      <c r="Q692" s="7" t="n"/>
      <c r="R692" s="12" t="n"/>
      <c r="S692" s="13">
        <f>IF(OR(R692="",J692=""),"",R692/J692-1)</f>
        <v/>
      </c>
      <c r="T692" s="14">
        <f>IF(OR(L692="",R692="",J692=""),"",SQRT(4+(L692^2-4)*(R692/J692)^2))</f>
        <v/>
      </c>
      <c r="U692" s="7" t="n"/>
      <c r="V692" s="7" t="n"/>
    </row>
    <row r="693">
      <c r="A693" s="7" t="inlineStr">
        <is>
          <t>L-11/4-10-i2</t>
        </is>
      </c>
      <c r="B693" s="7" t="inlineStr">
        <is>
          <t>1 1/4</t>
        </is>
      </c>
      <c r="C693" s="7" t="inlineStr">
        <is>
          <t>L</t>
        </is>
      </c>
      <c r="D693" s="7" t="inlineStr">
        <is>
          <t>Copper L</t>
        </is>
      </c>
      <c r="E693" s="7" t="n">
        <v>10</v>
      </c>
      <c r="F693" s="7" t="n">
        <v>2</v>
      </c>
      <c r="G693" s="8" t="n"/>
      <c r="H693" s="27" t="n"/>
      <c r="I693" s="27" t="n"/>
      <c r="J693" s="8" t="n"/>
      <c r="K693" s="8" t="n"/>
      <c r="L693" s="10" t="n"/>
      <c r="M693" s="8" t="n"/>
      <c r="N693" s="11">
        <f>IF(OR(J693="",H693="",I693=""),"",J693/((I693-H693)*1440))</f>
        <v/>
      </c>
      <c r="O693" s="7" t="n"/>
      <c r="P693" s="7" t="n"/>
      <c r="Q693" s="7" t="n"/>
      <c r="R693" s="12" t="n"/>
      <c r="S693" s="13">
        <f>IF(OR(R693="",J693=""),"",R693/J693-1)</f>
        <v/>
      </c>
      <c r="T693" s="14">
        <f>IF(OR(L693="",R693="",J693=""),"",SQRT(4+(L693^2-4)*(R693/J693)^2))</f>
        <v/>
      </c>
      <c r="U693" s="7" t="n"/>
      <c r="V693" s="7" t="n"/>
    </row>
    <row r="694">
      <c r="A694" s="7" t="inlineStr">
        <is>
          <t>L-11/4-10-i3</t>
        </is>
      </c>
      <c r="B694" s="7" t="inlineStr">
        <is>
          <t>1 1/4</t>
        </is>
      </c>
      <c r="C694" s="7" t="inlineStr">
        <is>
          <t>L</t>
        </is>
      </c>
      <c r="D694" s="7" t="inlineStr">
        <is>
          <t>Copper L</t>
        </is>
      </c>
      <c r="E694" s="7" t="n">
        <v>10</v>
      </c>
      <c r="F694" s="7" t="n">
        <v>3</v>
      </c>
      <c r="G694" s="8" t="n"/>
      <c r="H694" s="27" t="n"/>
      <c r="I694" s="27" t="n"/>
      <c r="J694" s="8" t="n"/>
      <c r="K694" s="8" t="n"/>
      <c r="L694" s="10" t="n"/>
      <c r="M694" s="8" t="n"/>
      <c r="N694" s="11">
        <f>IF(OR(J694="",H694="",I694=""),"",J694/((I694-H694)*1440))</f>
        <v/>
      </c>
      <c r="O694" s="7" t="n"/>
      <c r="P694" s="7" t="n"/>
      <c r="Q694" s="7" t="n"/>
      <c r="R694" s="12" t="n"/>
      <c r="S694" s="13">
        <f>IF(OR(R694="",J694=""),"",R694/J694-1)</f>
        <v/>
      </c>
      <c r="T694" s="14">
        <f>IF(OR(L694="",R694="",J694=""),"",SQRT(4+(L694^2-4)*(R694/J694)^2))</f>
        <v/>
      </c>
      <c r="U694" s="7" t="n"/>
      <c r="V694" s="7" t="n"/>
    </row>
    <row r="695">
      <c r="A695" s="7" t="inlineStr">
        <is>
          <t>M-11/4-0.5-i1</t>
        </is>
      </c>
      <c r="B695" s="7" t="inlineStr">
        <is>
          <t>1 1/4</t>
        </is>
      </c>
      <c r="C695" s="7" t="inlineStr">
        <is>
          <t>M</t>
        </is>
      </c>
      <c r="D695" s="7" t="inlineStr">
        <is>
          <t>Copper M</t>
        </is>
      </c>
      <c r="E695" s="7" t="n">
        <v>0.5</v>
      </c>
      <c r="F695" s="7" t="n">
        <v>1</v>
      </c>
      <c r="G695" s="8" t="n"/>
      <c r="H695" s="27" t="n"/>
      <c r="I695" s="27" t="n"/>
      <c r="J695" s="8" t="n"/>
      <c r="K695" s="8" t="n"/>
      <c r="L695" s="10" t="n"/>
      <c r="M695" s="8" t="n"/>
      <c r="N695" s="11">
        <f>IF(OR(J695="",H695="",I695=""),"",J695/((I695-H695)*1440))</f>
        <v/>
      </c>
      <c r="O695" s="7" t="n"/>
      <c r="P695" s="7" t="n"/>
      <c r="Q695" s="7" t="n"/>
      <c r="R695" s="12" t="n"/>
      <c r="S695" s="13">
        <f>IF(OR(R695="",J695=""),"",R695/J695-1)</f>
        <v/>
      </c>
      <c r="T695" s="14">
        <f>IF(OR(L695="",R695="",J695=""),"",SQRT(4+(L695^2-4)*(R695/J695)^2))</f>
        <v/>
      </c>
      <c r="U695" s="7" t="n"/>
      <c r="V695" s="7" t="n"/>
    </row>
    <row r="696">
      <c r="A696" s="7" t="inlineStr">
        <is>
          <t>M-11/4-0.5-i2</t>
        </is>
      </c>
      <c r="B696" s="7" t="inlineStr">
        <is>
          <t>1 1/4</t>
        </is>
      </c>
      <c r="C696" s="7" t="inlineStr">
        <is>
          <t>M</t>
        </is>
      </c>
      <c r="D696" s="7" t="inlineStr">
        <is>
          <t>Copper M</t>
        </is>
      </c>
      <c r="E696" s="7" t="n">
        <v>0.5</v>
      </c>
      <c r="F696" s="7" t="n">
        <v>2</v>
      </c>
      <c r="G696" s="8" t="n"/>
      <c r="H696" s="27" t="n"/>
      <c r="I696" s="27" t="n"/>
      <c r="J696" s="8" t="n"/>
      <c r="K696" s="8" t="n"/>
      <c r="L696" s="10" t="n"/>
      <c r="M696" s="8" t="n"/>
      <c r="N696" s="11">
        <f>IF(OR(J696="",H696="",I696=""),"",J696/((I696-H696)*1440))</f>
        <v/>
      </c>
      <c r="O696" s="7" t="n"/>
      <c r="P696" s="7" t="n"/>
      <c r="Q696" s="7" t="n"/>
      <c r="R696" s="12" t="n"/>
      <c r="S696" s="13">
        <f>IF(OR(R696="",J696=""),"",R696/J696-1)</f>
        <v/>
      </c>
      <c r="T696" s="14">
        <f>IF(OR(L696="",R696="",J696=""),"",SQRT(4+(L696^2-4)*(R696/J696)^2))</f>
        <v/>
      </c>
      <c r="U696" s="7" t="n"/>
      <c r="V696" s="7" t="n"/>
    </row>
    <row r="697">
      <c r="A697" s="7" t="inlineStr">
        <is>
          <t>M-11/4-0.5-i3</t>
        </is>
      </c>
      <c r="B697" s="7" t="inlineStr">
        <is>
          <t>1 1/4</t>
        </is>
      </c>
      <c r="C697" s="7" t="inlineStr">
        <is>
          <t>M</t>
        </is>
      </c>
      <c r="D697" s="7" t="inlineStr">
        <is>
          <t>Copper M</t>
        </is>
      </c>
      <c r="E697" s="7" t="n">
        <v>0.5</v>
      </c>
      <c r="F697" s="7" t="n">
        <v>3</v>
      </c>
      <c r="G697" s="8" t="n"/>
      <c r="H697" s="27" t="n"/>
      <c r="I697" s="27" t="n"/>
      <c r="J697" s="8" t="n"/>
      <c r="K697" s="8" t="n"/>
      <c r="L697" s="10" t="n"/>
      <c r="M697" s="8" t="n"/>
      <c r="N697" s="11">
        <f>IF(OR(J697="",H697="",I697=""),"",J697/((I697-H697)*1440))</f>
        <v/>
      </c>
      <c r="O697" s="7" t="n"/>
      <c r="P697" s="7" t="n"/>
      <c r="Q697" s="7" t="n"/>
      <c r="R697" s="12" t="n"/>
      <c r="S697" s="13">
        <f>IF(OR(R697="",J697=""),"",R697/J697-1)</f>
        <v/>
      </c>
      <c r="T697" s="14">
        <f>IF(OR(L697="",R697="",J697=""),"",SQRT(4+(L697^2-4)*(R697/J697)^2))</f>
        <v/>
      </c>
      <c r="U697" s="7" t="n"/>
      <c r="V697" s="7" t="n"/>
    </row>
    <row r="698">
      <c r="A698" s="7" t="inlineStr">
        <is>
          <t>M-11/4-1-i1</t>
        </is>
      </c>
      <c r="B698" s="7" t="inlineStr">
        <is>
          <t>1 1/4</t>
        </is>
      </c>
      <c r="C698" s="7" t="inlineStr">
        <is>
          <t>M</t>
        </is>
      </c>
      <c r="D698" s="7" t="inlineStr">
        <is>
          <t>Copper M</t>
        </is>
      </c>
      <c r="E698" s="7" t="n">
        <v>1</v>
      </c>
      <c r="F698" s="7" t="n">
        <v>1</v>
      </c>
      <c r="G698" s="8" t="n"/>
      <c r="H698" s="27" t="n"/>
      <c r="I698" s="27" t="n"/>
      <c r="J698" s="8" t="n"/>
      <c r="K698" s="8" t="n"/>
      <c r="L698" s="10" t="n"/>
      <c r="M698" s="8" t="n"/>
      <c r="N698" s="11">
        <f>IF(OR(J698="",H698="",I698=""),"",J698/((I698-H698)*1440))</f>
        <v/>
      </c>
      <c r="O698" s="7" t="n"/>
      <c r="P698" s="7" t="n"/>
      <c r="Q698" s="7" t="n"/>
      <c r="R698" s="12" t="n"/>
      <c r="S698" s="13">
        <f>IF(OR(R698="",J698=""),"",R698/J698-1)</f>
        <v/>
      </c>
      <c r="T698" s="14">
        <f>IF(OR(L698="",R698="",J698=""),"",SQRT(4+(L698^2-4)*(R698/J698)^2))</f>
        <v/>
      </c>
      <c r="U698" s="7" t="n"/>
      <c r="V698" s="7" t="n"/>
    </row>
    <row r="699">
      <c r="A699" s="7" t="inlineStr">
        <is>
          <t>M-11/4-1-i2</t>
        </is>
      </c>
      <c r="B699" s="7" t="inlineStr">
        <is>
          <t>1 1/4</t>
        </is>
      </c>
      <c r="C699" s="7" t="inlineStr">
        <is>
          <t>M</t>
        </is>
      </c>
      <c r="D699" s="7" t="inlineStr">
        <is>
          <t>Copper M</t>
        </is>
      </c>
      <c r="E699" s="7" t="n">
        <v>1</v>
      </c>
      <c r="F699" s="7" t="n">
        <v>2</v>
      </c>
      <c r="G699" s="8" t="n"/>
      <c r="H699" s="27" t="n"/>
      <c r="I699" s="27" t="n"/>
      <c r="J699" s="8" t="n"/>
      <c r="K699" s="8" t="n"/>
      <c r="L699" s="10" t="n"/>
      <c r="M699" s="8" t="n"/>
      <c r="N699" s="11">
        <f>IF(OR(J699="",H699="",I699=""),"",J699/((I699-H699)*1440))</f>
        <v/>
      </c>
      <c r="O699" s="7" t="n"/>
      <c r="P699" s="7" t="n"/>
      <c r="Q699" s="7" t="n"/>
      <c r="R699" s="12" t="n"/>
      <c r="S699" s="13">
        <f>IF(OR(R699="",J699=""),"",R699/J699-1)</f>
        <v/>
      </c>
      <c r="T699" s="14">
        <f>IF(OR(L699="",R699="",J699=""),"",SQRT(4+(L699^2-4)*(R699/J699)^2))</f>
        <v/>
      </c>
      <c r="U699" s="7" t="n"/>
      <c r="V699" s="7" t="n"/>
    </row>
    <row r="700">
      <c r="A700" s="7" t="inlineStr">
        <is>
          <t>M-11/4-1-i3</t>
        </is>
      </c>
      <c r="B700" s="7" t="inlineStr">
        <is>
          <t>1 1/4</t>
        </is>
      </c>
      <c r="C700" s="7" t="inlineStr">
        <is>
          <t>M</t>
        </is>
      </c>
      <c r="D700" s="7" t="inlineStr">
        <is>
          <t>Copper M</t>
        </is>
      </c>
      <c r="E700" s="7" t="n">
        <v>1</v>
      </c>
      <c r="F700" s="7" t="n">
        <v>3</v>
      </c>
      <c r="G700" s="8" t="n"/>
      <c r="H700" s="27" t="n"/>
      <c r="I700" s="27" t="n"/>
      <c r="J700" s="8" t="n"/>
      <c r="K700" s="8" t="n"/>
      <c r="L700" s="10" t="n"/>
      <c r="M700" s="8" t="n"/>
      <c r="N700" s="11">
        <f>IF(OR(J700="",H700="",I700=""),"",J700/((I700-H700)*1440))</f>
        <v/>
      </c>
      <c r="O700" s="7" t="n"/>
      <c r="P700" s="7" t="n"/>
      <c r="Q700" s="7" t="n"/>
      <c r="R700" s="12" t="n"/>
      <c r="S700" s="13">
        <f>IF(OR(R700="",J700=""),"",R700/J700-1)</f>
        <v/>
      </c>
      <c r="T700" s="14">
        <f>IF(OR(L700="",R700="",J700=""),"",SQRT(4+(L700^2-4)*(R700/J700)^2))</f>
        <v/>
      </c>
      <c r="U700" s="7" t="n"/>
      <c r="V700" s="7" t="n"/>
    </row>
    <row r="701">
      <c r="A701" s="7" t="inlineStr">
        <is>
          <t>M-11/4-3-i1</t>
        </is>
      </c>
      <c r="B701" s="7" t="inlineStr">
        <is>
          <t>1 1/4</t>
        </is>
      </c>
      <c r="C701" s="7" t="inlineStr">
        <is>
          <t>M</t>
        </is>
      </c>
      <c r="D701" s="7" t="inlineStr">
        <is>
          <t>Copper M</t>
        </is>
      </c>
      <c r="E701" s="7" t="n">
        <v>3</v>
      </c>
      <c r="F701" s="7" t="n">
        <v>1</v>
      </c>
      <c r="G701" s="8" t="n"/>
      <c r="H701" s="27" t="n"/>
      <c r="I701" s="27" t="n"/>
      <c r="J701" s="8" t="n"/>
      <c r="K701" s="8" t="n"/>
      <c r="L701" s="10" t="n"/>
      <c r="M701" s="8" t="n"/>
      <c r="N701" s="11">
        <f>IF(OR(J701="",H701="",I701=""),"",J701/((I701-H701)*1440))</f>
        <v/>
      </c>
      <c r="O701" s="7" t="n"/>
      <c r="P701" s="7" t="n"/>
      <c r="Q701" s="7" t="n"/>
      <c r="R701" s="12" t="n"/>
      <c r="S701" s="13">
        <f>IF(OR(R701="",J701=""),"",R701/J701-1)</f>
        <v/>
      </c>
      <c r="T701" s="14">
        <f>IF(OR(L701="",R701="",J701=""),"",SQRT(4+(L701^2-4)*(R701/J701)^2))</f>
        <v/>
      </c>
      <c r="U701" s="7" t="n"/>
      <c r="V701" s="7" t="n"/>
    </row>
    <row r="702">
      <c r="A702" s="7" t="inlineStr">
        <is>
          <t>M-11/4-3-i2</t>
        </is>
      </c>
      <c r="B702" s="7" t="inlineStr">
        <is>
          <t>1 1/4</t>
        </is>
      </c>
      <c r="C702" s="7" t="inlineStr">
        <is>
          <t>M</t>
        </is>
      </c>
      <c r="D702" s="7" t="inlineStr">
        <is>
          <t>Copper M</t>
        </is>
      </c>
      <c r="E702" s="7" t="n">
        <v>3</v>
      </c>
      <c r="F702" s="7" t="n">
        <v>2</v>
      </c>
      <c r="G702" s="8" t="n"/>
      <c r="H702" s="27" t="n"/>
      <c r="I702" s="27" t="n"/>
      <c r="J702" s="8" t="n"/>
      <c r="K702" s="8" t="n"/>
      <c r="L702" s="10" t="n"/>
      <c r="M702" s="8" t="n"/>
      <c r="N702" s="11">
        <f>IF(OR(J702="",H702="",I702=""),"",J702/((I702-H702)*1440))</f>
        <v/>
      </c>
      <c r="O702" s="7" t="n"/>
      <c r="P702" s="7" t="n"/>
      <c r="Q702" s="7" t="n"/>
      <c r="R702" s="12" t="n"/>
      <c r="S702" s="13">
        <f>IF(OR(R702="",J702=""),"",R702/J702-1)</f>
        <v/>
      </c>
      <c r="T702" s="14">
        <f>IF(OR(L702="",R702="",J702=""),"",SQRT(4+(L702^2-4)*(R702/J702)^2))</f>
        <v/>
      </c>
      <c r="U702" s="7" t="n"/>
      <c r="V702" s="7" t="n"/>
    </row>
    <row r="703">
      <c r="A703" s="7" t="inlineStr">
        <is>
          <t>M-11/4-3-i3</t>
        </is>
      </c>
      <c r="B703" s="7" t="inlineStr">
        <is>
          <t>1 1/4</t>
        </is>
      </c>
      <c r="C703" s="7" t="inlineStr">
        <is>
          <t>M</t>
        </is>
      </c>
      <c r="D703" s="7" t="inlineStr">
        <is>
          <t>Copper M</t>
        </is>
      </c>
      <c r="E703" s="7" t="n">
        <v>3</v>
      </c>
      <c r="F703" s="7" t="n">
        <v>3</v>
      </c>
      <c r="G703" s="8" t="n"/>
      <c r="H703" s="27" t="n"/>
      <c r="I703" s="27" t="n"/>
      <c r="J703" s="8" t="n"/>
      <c r="K703" s="8" t="n"/>
      <c r="L703" s="10" t="n"/>
      <c r="M703" s="8" t="n"/>
      <c r="N703" s="11">
        <f>IF(OR(J703="",H703="",I703=""),"",J703/((I703-H703)*1440))</f>
        <v/>
      </c>
      <c r="O703" s="7" t="n"/>
      <c r="P703" s="7" t="n"/>
      <c r="Q703" s="7" t="n"/>
      <c r="R703" s="12" t="n"/>
      <c r="S703" s="13">
        <f>IF(OR(R703="",J703=""),"",R703/J703-1)</f>
        <v/>
      </c>
      <c r="T703" s="14">
        <f>IF(OR(L703="",R703="",J703=""),"",SQRT(4+(L703^2-4)*(R703/J703)^2))</f>
        <v/>
      </c>
      <c r="U703" s="7" t="n"/>
      <c r="V703" s="7" t="n"/>
    </row>
    <row r="704">
      <c r="A704" s="7" t="inlineStr">
        <is>
          <t>M-11/4-5-i1</t>
        </is>
      </c>
      <c r="B704" s="7" t="inlineStr">
        <is>
          <t>1 1/4</t>
        </is>
      </c>
      <c r="C704" s="7" t="inlineStr">
        <is>
          <t>M</t>
        </is>
      </c>
      <c r="D704" s="7" t="inlineStr">
        <is>
          <t>Copper M</t>
        </is>
      </c>
      <c r="E704" s="7" t="n">
        <v>5</v>
      </c>
      <c r="F704" s="7" t="n">
        <v>1</v>
      </c>
      <c r="G704" s="8" t="n"/>
      <c r="H704" s="27" t="n"/>
      <c r="I704" s="27" t="n"/>
      <c r="J704" s="8" t="n"/>
      <c r="K704" s="8" t="n"/>
      <c r="L704" s="10" t="n"/>
      <c r="M704" s="8" t="n"/>
      <c r="N704" s="11">
        <f>IF(OR(J704="",H704="",I704=""),"",J704/((I704-H704)*1440))</f>
        <v/>
      </c>
      <c r="O704" s="7" t="n"/>
      <c r="P704" s="7" t="n"/>
      <c r="Q704" s="7" t="n"/>
      <c r="R704" s="12" t="n"/>
      <c r="S704" s="13">
        <f>IF(OR(R704="",J704=""),"",R704/J704-1)</f>
        <v/>
      </c>
      <c r="T704" s="14">
        <f>IF(OR(L704="",R704="",J704=""),"",SQRT(4+(L704^2-4)*(R704/J704)^2))</f>
        <v/>
      </c>
      <c r="U704" s="7" t="n"/>
      <c r="V704" s="7" t="n"/>
    </row>
    <row r="705">
      <c r="A705" s="7" t="inlineStr">
        <is>
          <t>M-11/4-5-i2</t>
        </is>
      </c>
      <c r="B705" s="7" t="inlineStr">
        <is>
          <t>1 1/4</t>
        </is>
      </c>
      <c r="C705" s="7" t="inlineStr">
        <is>
          <t>M</t>
        </is>
      </c>
      <c r="D705" s="7" t="inlineStr">
        <is>
          <t>Copper M</t>
        </is>
      </c>
      <c r="E705" s="7" t="n">
        <v>5</v>
      </c>
      <c r="F705" s="7" t="n">
        <v>2</v>
      </c>
      <c r="G705" s="8" t="n"/>
      <c r="H705" s="27" t="n"/>
      <c r="I705" s="27" t="n"/>
      <c r="J705" s="8" t="n"/>
      <c r="K705" s="8" t="n"/>
      <c r="L705" s="10" t="n"/>
      <c r="M705" s="8" t="n"/>
      <c r="N705" s="11">
        <f>IF(OR(J705="",H705="",I705=""),"",J705/((I705-H705)*1440))</f>
        <v/>
      </c>
      <c r="O705" s="7" t="n"/>
      <c r="P705" s="7" t="n"/>
      <c r="Q705" s="7" t="n"/>
      <c r="R705" s="12" t="n"/>
      <c r="S705" s="13">
        <f>IF(OR(R705="",J705=""),"",R705/J705-1)</f>
        <v/>
      </c>
      <c r="T705" s="14">
        <f>IF(OR(L705="",R705="",J705=""),"",SQRT(4+(L705^2-4)*(R705/J705)^2))</f>
        <v/>
      </c>
      <c r="U705" s="7" t="n"/>
      <c r="V705" s="7" t="n"/>
    </row>
    <row r="706">
      <c r="A706" s="7" t="inlineStr">
        <is>
          <t>M-11/4-5-i3</t>
        </is>
      </c>
      <c r="B706" s="7" t="inlineStr">
        <is>
          <t>1 1/4</t>
        </is>
      </c>
      <c r="C706" s="7" t="inlineStr">
        <is>
          <t>M</t>
        </is>
      </c>
      <c r="D706" s="7" t="inlineStr">
        <is>
          <t>Copper M</t>
        </is>
      </c>
      <c r="E706" s="7" t="n">
        <v>5</v>
      </c>
      <c r="F706" s="7" t="n">
        <v>3</v>
      </c>
      <c r="G706" s="8" t="n"/>
      <c r="H706" s="27" t="n"/>
      <c r="I706" s="27" t="n"/>
      <c r="J706" s="8" t="n"/>
      <c r="K706" s="8" t="n"/>
      <c r="L706" s="10" t="n"/>
      <c r="M706" s="8" t="n"/>
      <c r="N706" s="11">
        <f>IF(OR(J706="",H706="",I706=""),"",J706/((I706-H706)*1440))</f>
        <v/>
      </c>
      <c r="O706" s="7" t="n"/>
      <c r="P706" s="7" t="n"/>
      <c r="Q706" s="7" t="n"/>
      <c r="R706" s="12" t="n"/>
      <c r="S706" s="13">
        <f>IF(OR(R706="",J706=""),"",R706/J706-1)</f>
        <v/>
      </c>
      <c r="T706" s="14">
        <f>IF(OR(L706="",R706="",J706=""),"",SQRT(4+(L706^2-4)*(R706/J706)^2))</f>
        <v/>
      </c>
      <c r="U706" s="7" t="n"/>
      <c r="V706" s="7" t="n"/>
    </row>
    <row r="707">
      <c r="A707" s="7" t="inlineStr">
        <is>
          <t>M-11/4-10-i1</t>
        </is>
      </c>
      <c r="B707" s="7" t="inlineStr">
        <is>
          <t>1 1/4</t>
        </is>
      </c>
      <c r="C707" s="7" t="inlineStr">
        <is>
          <t>M</t>
        </is>
      </c>
      <c r="D707" s="7" t="inlineStr">
        <is>
          <t>Copper M</t>
        </is>
      </c>
      <c r="E707" s="7" t="n">
        <v>10</v>
      </c>
      <c r="F707" s="7" t="n">
        <v>1</v>
      </c>
      <c r="G707" s="8" t="n"/>
      <c r="H707" s="27" t="n"/>
      <c r="I707" s="27" t="n"/>
      <c r="J707" s="8" t="n"/>
      <c r="K707" s="8" t="n"/>
      <c r="L707" s="10" t="n"/>
      <c r="M707" s="8" t="n"/>
      <c r="N707" s="11">
        <f>IF(OR(J707="",H707="",I707=""),"",J707/((I707-H707)*1440))</f>
        <v/>
      </c>
      <c r="O707" s="7" t="n"/>
      <c r="P707" s="7" t="n"/>
      <c r="Q707" s="7" t="n"/>
      <c r="R707" s="12" t="n"/>
      <c r="S707" s="13">
        <f>IF(OR(R707="",J707=""),"",R707/J707-1)</f>
        <v/>
      </c>
      <c r="T707" s="14">
        <f>IF(OR(L707="",R707="",J707=""),"",SQRT(4+(L707^2-4)*(R707/J707)^2))</f>
        <v/>
      </c>
      <c r="U707" s="7" t="n"/>
      <c r="V707" s="7" t="n"/>
    </row>
    <row r="708">
      <c r="A708" s="7" t="inlineStr">
        <is>
          <t>M-11/4-10-i2</t>
        </is>
      </c>
      <c r="B708" s="7" t="inlineStr">
        <is>
          <t>1 1/4</t>
        </is>
      </c>
      <c r="C708" s="7" t="inlineStr">
        <is>
          <t>M</t>
        </is>
      </c>
      <c r="D708" s="7" t="inlineStr">
        <is>
          <t>Copper M</t>
        </is>
      </c>
      <c r="E708" s="7" t="n">
        <v>10</v>
      </c>
      <c r="F708" s="7" t="n">
        <v>2</v>
      </c>
      <c r="G708" s="8" t="n"/>
      <c r="H708" s="27" t="n"/>
      <c r="I708" s="27" t="n"/>
      <c r="J708" s="8" t="n"/>
      <c r="K708" s="8" t="n"/>
      <c r="L708" s="10" t="n"/>
      <c r="M708" s="8" t="n"/>
      <c r="N708" s="11">
        <f>IF(OR(J708="",H708="",I708=""),"",J708/((I708-H708)*1440))</f>
        <v/>
      </c>
      <c r="O708" s="7" t="n"/>
      <c r="P708" s="7" t="n"/>
      <c r="Q708" s="7" t="n"/>
      <c r="R708" s="12" t="n"/>
      <c r="S708" s="13">
        <f>IF(OR(R708="",J708=""),"",R708/J708-1)</f>
        <v/>
      </c>
      <c r="T708" s="14">
        <f>IF(OR(L708="",R708="",J708=""),"",SQRT(4+(L708^2-4)*(R708/J708)^2))</f>
        <v/>
      </c>
      <c r="U708" s="7" t="n"/>
      <c r="V708" s="7" t="n"/>
    </row>
    <row r="709">
      <c r="A709" s="7" t="inlineStr">
        <is>
          <t>M-11/4-10-i3</t>
        </is>
      </c>
      <c r="B709" s="7" t="inlineStr">
        <is>
          <t>1 1/4</t>
        </is>
      </c>
      <c r="C709" s="7" t="inlineStr">
        <is>
          <t>M</t>
        </is>
      </c>
      <c r="D709" s="7" t="inlineStr">
        <is>
          <t>Copper M</t>
        </is>
      </c>
      <c r="E709" s="7" t="n">
        <v>10</v>
      </c>
      <c r="F709" s="7" t="n">
        <v>3</v>
      </c>
      <c r="G709" s="8" t="n"/>
      <c r="H709" s="27" t="n"/>
      <c r="I709" s="27" t="n"/>
      <c r="J709" s="8" t="n"/>
      <c r="K709" s="8" t="n"/>
      <c r="L709" s="10" t="n"/>
      <c r="M709" s="8" t="n"/>
      <c r="N709" s="11">
        <f>IF(OR(J709="",H709="",I709=""),"",J709/((I709-H709)*1440))</f>
        <v/>
      </c>
      <c r="O709" s="7" t="n"/>
      <c r="P709" s="7" t="n"/>
      <c r="Q709" s="7" t="n"/>
      <c r="R709" s="12" t="n"/>
      <c r="S709" s="13">
        <f>IF(OR(R709="",J709=""),"",R709/J709-1)</f>
        <v/>
      </c>
      <c r="T709" s="14">
        <f>IF(OR(L709="",R709="",J709=""),"",SQRT(4+(L709^2-4)*(R709/J709)^2))</f>
        <v/>
      </c>
      <c r="U709" s="7" t="n"/>
      <c r="V709" s="7" t="n"/>
    </row>
    <row r="710">
      <c r="A710" s="7" t="inlineStr">
        <is>
          <t>P-11/4-0.5-i1</t>
        </is>
      </c>
      <c r="B710" s="7" t="inlineStr">
        <is>
          <t>1 1/4</t>
        </is>
      </c>
      <c r="C710" s="7" t="inlineStr">
        <is>
          <t>P</t>
        </is>
      </c>
      <c r="D710" s="7" t="inlineStr">
        <is>
          <t>PVC-40</t>
        </is>
      </c>
      <c r="E710" s="7" t="n">
        <v>0.5</v>
      </c>
      <c r="F710" s="7" t="n">
        <v>1</v>
      </c>
      <c r="G710" s="8" t="n"/>
      <c r="H710" s="27" t="n"/>
      <c r="I710" s="27" t="n"/>
      <c r="J710" s="8" t="n"/>
      <c r="K710" s="8" t="n"/>
      <c r="L710" s="10" t="n"/>
      <c r="M710" s="8" t="n"/>
      <c r="N710" s="11">
        <f>IF(OR(J710="",H710="",I710=""),"",J710/((I710-H710)*1440))</f>
        <v/>
      </c>
      <c r="O710" s="7" t="n"/>
      <c r="P710" s="7" t="n"/>
      <c r="Q710" s="7" t="n"/>
      <c r="R710" s="12" t="n"/>
      <c r="S710" s="13">
        <f>IF(OR(R710="",J710=""),"",R710/J710-1)</f>
        <v/>
      </c>
      <c r="T710" s="14">
        <f>IF(OR(L710="",R710="",J710=""),"",SQRT(4+(L710^2-4)*(R710/J710)^2))</f>
        <v/>
      </c>
      <c r="U710" s="7" t="n"/>
      <c r="V710" s="7" t="n"/>
    </row>
    <row r="711">
      <c r="A711" s="7" t="inlineStr">
        <is>
          <t>P-11/4-0.5-i2</t>
        </is>
      </c>
      <c r="B711" s="7" t="inlineStr">
        <is>
          <t>1 1/4</t>
        </is>
      </c>
      <c r="C711" s="7" t="inlineStr">
        <is>
          <t>P</t>
        </is>
      </c>
      <c r="D711" s="7" t="inlineStr">
        <is>
          <t>PVC-40</t>
        </is>
      </c>
      <c r="E711" s="7" t="n">
        <v>0.5</v>
      </c>
      <c r="F711" s="7" t="n">
        <v>2</v>
      </c>
      <c r="G711" s="8" t="n"/>
      <c r="H711" s="27" t="n"/>
      <c r="I711" s="27" t="n"/>
      <c r="J711" s="8" t="n"/>
      <c r="K711" s="8" t="n"/>
      <c r="L711" s="10" t="n"/>
      <c r="M711" s="8" t="n"/>
      <c r="N711" s="11">
        <f>IF(OR(J711="",H711="",I711=""),"",J711/((I711-H711)*1440))</f>
        <v/>
      </c>
      <c r="O711" s="7" t="n"/>
      <c r="P711" s="7" t="n"/>
      <c r="Q711" s="7" t="n"/>
      <c r="R711" s="12" t="n"/>
      <c r="S711" s="13">
        <f>IF(OR(R711="",J711=""),"",R711/J711-1)</f>
        <v/>
      </c>
      <c r="T711" s="14">
        <f>IF(OR(L711="",R711="",J711=""),"",SQRT(4+(L711^2-4)*(R711/J711)^2))</f>
        <v/>
      </c>
      <c r="U711" s="7" t="n"/>
      <c r="V711" s="7" t="n"/>
    </row>
    <row r="712">
      <c r="A712" s="7" t="inlineStr">
        <is>
          <t>P-11/4-0.5-i3</t>
        </is>
      </c>
      <c r="B712" s="7" t="inlineStr">
        <is>
          <t>1 1/4</t>
        </is>
      </c>
      <c r="C712" s="7" t="inlineStr">
        <is>
          <t>P</t>
        </is>
      </c>
      <c r="D712" s="7" t="inlineStr">
        <is>
          <t>PVC-40</t>
        </is>
      </c>
      <c r="E712" s="7" t="n">
        <v>0.5</v>
      </c>
      <c r="F712" s="7" t="n">
        <v>3</v>
      </c>
      <c r="G712" s="8" t="n"/>
      <c r="H712" s="27" t="n"/>
      <c r="I712" s="27" t="n"/>
      <c r="J712" s="8" t="n"/>
      <c r="K712" s="8" t="n"/>
      <c r="L712" s="10" t="n"/>
      <c r="M712" s="8" t="n"/>
      <c r="N712" s="11">
        <f>IF(OR(J712="",H712="",I712=""),"",J712/((I712-H712)*1440))</f>
        <v/>
      </c>
      <c r="O712" s="7" t="n"/>
      <c r="P712" s="7" t="n"/>
      <c r="Q712" s="7" t="n"/>
      <c r="R712" s="12" t="n"/>
      <c r="S712" s="13">
        <f>IF(OR(R712="",J712=""),"",R712/J712-1)</f>
        <v/>
      </c>
      <c r="T712" s="14">
        <f>IF(OR(L712="",R712="",J712=""),"",SQRT(4+(L712^2-4)*(R712/J712)^2))</f>
        <v/>
      </c>
      <c r="U712" s="7" t="n"/>
      <c r="V712" s="7" t="n"/>
    </row>
    <row r="713">
      <c r="A713" s="7" t="inlineStr">
        <is>
          <t>P-11/4-1-i1</t>
        </is>
      </c>
      <c r="B713" s="7" t="inlineStr">
        <is>
          <t>1 1/4</t>
        </is>
      </c>
      <c r="C713" s="7" t="inlineStr">
        <is>
          <t>P</t>
        </is>
      </c>
      <c r="D713" s="7" t="inlineStr">
        <is>
          <t>PVC-40</t>
        </is>
      </c>
      <c r="E713" s="7" t="n">
        <v>1</v>
      </c>
      <c r="F713" s="7" t="n">
        <v>1</v>
      </c>
      <c r="G713" s="8" t="n"/>
      <c r="H713" s="27" t="n"/>
      <c r="I713" s="27" t="n"/>
      <c r="J713" s="8" t="n"/>
      <c r="K713" s="8" t="n"/>
      <c r="L713" s="10" t="n"/>
      <c r="M713" s="8" t="n"/>
      <c r="N713" s="11">
        <f>IF(OR(J713="",H713="",I713=""),"",J713/((I713-H713)*1440))</f>
        <v/>
      </c>
      <c r="O713" s="7" t="n"/>
      <c r="P713" s="7" t="n"/>
      <c r="Q713" s="7" t="n"/>
      <c r="R713" s="12" t="n"/>
      <c r="S713" s="13">
        <f>IF(OR(R713="",J713=""),"",R713/J713-1)</f>
        <v/>
      </c>
      <c r="T713" s="14">
        <f>IF(OR(L713="",R713="",J713=""),"",SQRT(4+(L713^2-4)*(R713/J713)^2))</f>
        <v/>
      </c>
      <c r="U713" s="7" t="n"/>
      <c r="V713" s="7" t="n"/>
    </row>
    <row r="714">
      <c r="A714" s="7" t="inlineStr">
        <is>
          <t>P-11/4-1-i2</t>
        </is>
      </c>
      <c r="B714" s="7" t="inlineStr">
        <is>
          <t>1 1/4</t>
        </is>
      </c>
      <c r="C714" s="7" t="inlineStr">
        <is>
          <t>P</t>
        </is>
      </c>
      <c r="D714" s="7" t="inlineStr">
        <is>
          <t>PVC-40</t>
        </is>
      </c>
      <c r="E714" s="7" t="n">
        <v>1</v>
      </c>
      <c r="F714" s="7" t="n">
        <v>2</v>
      </c>
      <c r="G714" s="8" t="n"/>
      <c r="H714" s="27" t="n"/>
      <c r="I714" s="27" t="n"/>
      <c r="J714" s="8" t="n"/>
      <c r="K714" s="8" t="n"/>
      <c r="L714" s="10" t="n"/>
      <c r="M714" s="8" t="n"/>
      <c r="N714" s="11">
        <f>IF(OR(J714="",H714="",I714=""),"",J714/((I714-H714)*1440))</f>
        <v/>
      </c>
      <c r="O714" s="7" t="n"/>
      <c r="P714" s="7" t="n"/>
      <c r="Q714" s="7" t="n"/>
      <c r="R714" s="12" t="n"/>
      <c r="S714" s="13">
        <f>IF(OR(R714="",J714=""),"",R714/J714-1)</f>
        <v/>
      </c>
      <c r="T714" s="14">
        <f>IF(OR(L714="",R714="",J714=""),"",SQRT(4+(L714^2-4)*(R714/J714)^2))</f>
        <v/>
      </c>
      <c r="U714" s="7" t="n"/>
      <c r="V714" s="7" t="n"/>
    </row>
    <row r="715">
      <c r="A715" s="7" t="inlineStr">
        <is>
          <t>P-11/4-1-i3</t>
        </is>
      </c>
      <c r="B715" s="7" t="inlineStr">
        <is>
          <t>1 1/4</t>
        </is>
      </c>
      <c r="C715" s="7" t="inlineStr">
        <is>
          <t>P</t>
        </is>
      </c>
      <c r="D715" s="7" t="inlineStr">
        <is>
          <t>PVC-40</t>
        </is>
      </c>
      <c r="E715" s="7" t="n">
        <v>1</v>
      </c>
      <c r="F715" s="7" t="n">
        <v>3</v>
      </c>
      <c r="G715" s="8" t="n"/>
      <c r="H715" s="27" t="n"/>
      <c r="I715" s="27" t="n"/>
      <c r="J715" s="8" t="n"/>
      <c r="K715" s="8" t="n"/>
      <c r="L715" s="10" t="n"/>
      <c r="M715" s="8" t="n"/>
      <c r="N715" s="11">
        <f>IF(OR(J715="",H715="",I715=""),"",J715/((I715-H715)*1440))</f>
        <v/>
      </c>
      <c r="O715" s="7" t="n"/>
      <c r="P715" s="7" t="n"/>
      <c r="Q715" s="7" t="n"/>
      <c r="R715" s="12" t="n"/>
      <c r="S715" s="13">
        <f>IF(OR(R715="",J715=""),"",R715/J715-1)</f>
        <v/>
      </c>
      <c r="T715" s="14">
        <f>IF(OR(L715="",R715="",J715=""),"",SQRT(4+(L715^2-4)*(R715/J715)^2))</f>
        <v/>
      </c>
      <c r="U715" s="7" t="n"/>
      <c r="V715" s="7" t="n"/>
    </row>
    <row r="716">
      <c r="A716" s="7" t="inlineStr">
        <is>
          <t>P-11/4-3-i1</t>
        </is>
      </c>
      <c r="B716" s="7" t="inlineStr">
        <is>
          <t>1 1/4</t>
        </is>
      </c>
      <c r="C716" s="7" t="inlineStr">
        <is>
          <t>P</t>
        </is>
      </c>
      <c r="D716" s="7" t="inlineStr">
        <is>
          <t>PVC-40</t>
        </is>
      </c>
      <c r="E716" s="7" t="n">
        <v>3</v>
      </c>
      <c r="F716" s="7" t="n">
        <v>1</v>
      </c>
      <c r="G716" s="8" t="n"/>
      <c r="H716" s="27" t="n"/>
      <c r="I716" s="27" t="n"/>
      <c r="J716" s="8" t="n"/>
      <c r="K716" s="8" t="n"/>
      <c r="L716" s="10" t="n"/>
      <c r="M716" s="8" t="n"/>
      <c r="N716" s="11">
        <f>IF(OR(J716="",H716="",I716=""),"",J716/((I716-H716)*1440))</f>
        <v/>
      </c>
      <c r="O716" s="7" t="n"/>
      <c r="P716" s="7" t="n"/>
      <c r="Q716" s="7" t="n"/>
      <c r="R716" s="12" t="n"/>
      <c r="S716" s="13">
        <f>IF(OR(R716="",J716=""),"",R716/J716-1)</f>
        <v/>
      </c>
      <c r="T716" s="14">
        <f>IF(OR(L716="",R716="",J716=""),"",SQRT(4+(L716^2-4)*(R716/J716)^2))</f>
        <v/>
      </c>
      <c r="U716" s="7" t="n"/>
      <c r="V716" s="7" t="n"/>
    </row>
    <row r="717">
      <c r="A717" s="7" t="inlineStr">
        <is>
          <t>P-11/4-3-i2</t>
        </is>
      </c>
      <c r="B717" s="7" t="inlineStr">
        <is>
          <t>1 1/4</t>
        </is>
      </c>
      <c r="C717" s="7" t="inlineStr">
        <is>
          <t>P</t>
        </is>
      </c>
      <c r="D717" s="7" t="inlineStr">
        <is>
          <t>PVC-40</t>
        </is>
      </c>
      <c r="E717" s="7" t="n">
        <v>3</v>
      </c>
      <c r="F717" s="7" t="n">
        <v>2</v>
      </c>
      <c r="G717" s="8" t="n"/>
      <c r="H717" s="27" t="n"/>
      <c r="I717" s="27" t="n"/>
      <c r="J717" s="8" t="n"/>
      <c r="K717" s="8" t="n"/>
      <c r="L717" s="10" t="n"/>
      <c r="M717" s="8" t="n"/>
      <c r="N717" s="11">
        <f>IF(OR(J717="",H717="",I717=""),"",J717/((I717-H717)*1440))</f>
        <v/>
      </c>
      <c r="O717" s="7" t="n"/>
      <c r="P717" s="7" t="n"/>
      <c r="Q717" s="7" t="n"/>
      <c r="R717" s="12" t="n"/>
      <c r="S717" s="13">
        <f>IF(OR(R717="",J717=""),"",R717/J717-1)</f>
        <v/>
      </c>
      <c r="T717" s="14">
        <f>IF(OR(L717="",R717="",J717=""),"",SQRT(4+(L717^2-4)*(R717/J717)^2))</f>
        <v/>
      </c>
      <c r="U717" s="7" t="n"/>
      <c r="V717" s="7" t="n"/>
    </row>
    <row r="718">
      <c r="A718" s="7" t="inlineStr">
        <is>
          <t>P-11/4-3-i3</t>
        </is>
      </c>
      <c r="B718" s="7" t="inlineStr">
        <is>
          <t>1 1/4</t>
        </is>
      </c>
      <c r="C718" s="7" t="inlineStr">
        <is>
          <t>P</t>
        </is>
      </c>
      <c r="D718" s="7" t="inlineStr">
        <is>
          <t>PVC-40</t>
        </is>
      </c>
      <c r="E718" s="7" t="n">
        <v>3</v>
      </c>
      <c r="F718" s="7" t="n">
        <v>3</v>
      </c>
      <c r="G718" s="8" t="n"/>
      <c r="H718" s="27" t="n"/>
      <c r="I718" s="27" t="n"/>
      <c r="J718" s="8" t="n"/>
      <c r="K718" s="8" t="n"/>
      <c r="L718" s="10" t="n"/>
      <c r="M718" s="8" t="n"/>
      <c r="N718" s="11">
        <f>IF(OR(J718="",H718="",I718=""),"",J718/((I718-H718)*1440))</f>
        <v/>
      </c>
      <c r="O718" s="7" t="n"/>
      <c r="P718" s="7" t="n"/>
      <c r="Q718" s="7" t="n"/>
      <c r="R718" s="12" t="n"/>
      <c r="S718" s="13">
        <f>IF(OR(R718="",J718=""),"",R718/J718-1)</f>
        <v/>
      </c>
      <c r="T718" s="14">
        <f>IF(OR(L718="",R718="",J718=""),"",SQRT(4+(L718^2-4)*(R718/J718)^2))</f>
        <v/>
      </c>
      <c r="U718" s="7" t="n"/>
      <c r="V718" s="7" t="n"/>
    </row>
    <row r="719">
      <c r="A719" s="7" t="inlineStr">
        <is>
          <t>P-11/4-5-i1</t>
        </is>
      </c>
      <c r="B719" s="7" t="inlineStr">
        <is>
          <t>1 1/4</t>
        </is>
      </c>
      <c r="C719" s="7" t="inlineStr">
        <is>
          <t>P</t>
        </is>
      </c>
      <c r="D719" s="7" t="inlineStr">
        <is>
          <t>PVC-40</t>
        </is>
      </c>
      <c r="E719" s="7" t="n">
        <v>5</v>
      </c>
      <c r="F719" s="7" t="n">
        <v>1</v>
      </c>
      <c r="G719" s="8" t="n"/>
      <c r="H719" s="27" t="n"/>
      <c r="I719" s="27" t="n"/>
      <c r="J719" s="8" t="n"/>
      <c r="K719" s="8" t="n"/>
      <c r="L719" s="10" t="n"/>
      <c r="M719" s="8" t="n"/>
      <c r="N719" s="11">
        <f>IF(OR(J719="",H719="",I719=""),"",J719/((I719-H719)*1440))</f>
        <v/>
      </c>
      <c r="O719" s="7" t="n"/>
      <c r="P719" s="7" t="n"/>
      <c r="Q719" s="7" t="n"/>
      <c r="R719" s="12" t="n"/>
      <c r="S719" s="13">
        <f>IF(OR(R719="",J719=""),"",R719/J719-1)</f>
        <v/>
      </c>
      <c r="T719" s="14">
        <f>IF(OR(L719="",R719="",J719=""),"",SQRT(4+(L719^2-4)*(R719/J719)^2))</f>
        <v/>
      </c>
      <c r="U719" s="7" t="n"/>
      <c r="V719" s="7" t="n"/>
    </row>
    <row r="720">
      <c r="A720" s="7" t="inlineStr">
        <is>
          <t>P-11/4-5-i2</t>
        </is>
      </c>
      <c r="B720" s="7" t="inlineStr">
        <is>
          <t>1 1/4</t>
        </is>
      </c>
      <c r="C720" s="7" t="inlineStr">
        <is>
          <t>P</t>
        </is>
      </c>
      <c r="D720" s="7" t="inlineStr">
        <is>
          <t>PVC-40</t>
        </is>
      </c>
      <c r="E720" s="7" t="n">
        <v>5</v>
      </c>
      <c r="F720" s="7" t="n">
        <v>2</v>
      </c>
      <c r="G720" s="8" t="n"/>
      <c r="H720" s="27" t="n"/>
      <c r="I720" s="27" t="n"/>
      <c r="J720" s="8" t="n"/>
      <c r="K720" s="8" t="n"/>
      <c r="L720" s="10" t="n"/>
      <c r="M720" s="8" t="n"/>
      <c r="N720" s="11">
        <f>IF(OR(J720="",H720="",I720=""),"",J720/((I720-H720)*1440))</f>
        <v/>
      </c>
      <c r="O720" s="7" t="n"/>
      <c r="P720" s="7" t="n"/>
      <c r="Q720" s="7" t="n"/>
      <c r="R720" s="12" t="n"/>
      <c r="S720" s="13">
        <f>IF(OR(R720="",J720=""),"",R720/J720-1)</f>
        <v/>
      </c>
      <c r="T720" s="14">
        <f>IF(OR(L720="",R720="",J720=""),"",SQRT(4+(L720^2-4)*(R720/J720)^2))</f>
        <v/>
      </c>
      <c r="U720" s="7" t="n"/>
      <c r="V720" s="7" t="n"/>
    </row>
    <row r="721">
      <c r="A721" s="7" t="inlineStr">
        <is>
          <t>P-11/4-5-i3</t>
        </is>
      </c>
      <c r="B721" s="7" t="inlineStr">
        <is>
          <t>1 1/4</t>
        </is>
      </c>
      <c r="C721" s="7" t="inlineStr">
        <is>
          <t>P</t>
        </is>
      </c>
      <c r="D721" s="7" t="inlineStr">
        <is>
          <t>PVC-40</t>
        </is>
      </c>
      <c r="E721" s="7" t="n">
        <v>5</v>
      </c>
      <c r="F721" s="7" t="n">
        <v>3</v>
      </c>
      <c r="G721" s="8" t="n"/>
      <c r="H721" s="27" t="n"/>
      <c r="I721" s="27" t="n"/>
      <c r="J721" s="8" t="n"/>
      <c r="K721" s="8" t="n"/>
      <c r="L721" s="10" t="n"/>
      <c r="M721" s="8" t="n"/>
      <c r="N721" s="11">
        <f>IF(OR(J721="",H721="",I721=""),"",J721/((I721-H721)*1440))</f>
        <v/>
      </c>
      <c r="O721" s="7" t="n"/>
      <c r="P721" s="7" t="n"/>
      <c r="Q721" s="7" t="n"/>
      <c r="R721" s="12" t="n"/>
      <c r="S721" s="13">
        <f>IF(OR(R721="",J721=""),"",R721/J721-1)</f>
        <v/>
      </c>
      <c r="T721" s="14">
        <f>IF(OR(L721="",R721="",J721=""),"",SQRT(4+(L721^2-4)*(R721/J721)^2))</f>
        <v/>
      </c>
      <c r="U721" s="7" t="n"/>
      <c r="V721" s="7" t="n"/>
    </row>
    <row r="722">
      <c r="A722" s="7" t="inlineStr">
        <is>
          <t>P-11/4-10-i1</t>
        </is>
      </c>
      <c r="B722" s="7" t="inlineStr">
        <is>
          <t>1 1/4</t>
        </is>
      </c>
      <c r="C722" s="7" t="inlineStr">
        <is>
          <t>P</t>
        </is>
      </c>
      <c r="D722" s="7" t="inlineStr">
        <is>
          <t>PVC-40</t>
        </is>
      </c>
      <c r="E722" s="7" t="n">
        <v>10</v>
      </c>
      <c r="F722" s="7" t="n">
        <v>1</v>
      </c>
      <c r="G722" s="8" t="n"/>
      <c r="H722" s="27" t="n"/>
      <c r="I722" s="27" t="n"/>
      <c r="J722" s="8" t="n"/>
      <c r="K722" s="8" t="n"/>
      <c r="L722" s="10" t="n"/>
      <c r="M722" s="8" t="n"/>
      <c r="N722" s="11">
        <f>IF(OR(J722="",H722="",I722=""),"",J722/((I722-H722)*1440))</f>
        <v/>
      </c>
      <c r="O722" s="7" t="n"/>
      <c r="P722" s="7" t="n"/>
      <c r="Q722" s="7" t="n"/>
      <c r="R722" s="12" t="n"/>
      <c r="S722" s="13">
        <f>IF(OR(R722="",J722=""),"",R722/J722-1)</f>
        <v/>
      </c>
      <c r="T722" s="14">
        <f>IF(OR(L722="",R722="",J722=""),"",SQRT(4+(L722^2-4)*(R722/J722)^2))</f>
        <v/>
      </c>
      <c r="U722" s="7" t="n"/>
      <c r="V722" s="7" t="n"/>
    </row>
    <row r="723">
      <c r="A723" s="7" t="inlineStr">
        <is>
          <t>P-11/4-10-i2</t>
        </is>
      </c>
      <c r="B723" s="7" t="inlineStr">
        <is>
          <t>1 1/4</t>
        </is>
      </c>
      <c r="C723" s="7" t="inlineStr">
        <is>
          <t>P</t>
        </is>
      </c>
      <c r="D723" s="7" t="inlineStr">
        <is>
          <t>PVC-40</t>
        </is>
      </c>
      <c r="E723" s="7" t="n">
        <v>10</v>
      </c>
      <c r="F723" s="7" t="n">
        <v>2</v>
      </c>
      <c r="G723" s="8" t="n"/>
      <c r="H723" s="27" t="n"/>
      <c r="I723" s="27" t="n"/>
      <c r="J723" s="8" t="n"/>
      <c r="K723" s="8" t="n"/>
      <c r="L723" s="10" t="n"/>
      <c r="M723" s="8" t="n"/>
      <c r="N723" s="11">
        <f>IF(OR(J723="",H723="",I723=""),"",J723/((I723-H723)*1440))</f>
        <v/>
      </c>
      <c r="O723" s="7" t="n"/>
      <c r="P723" s="7" t="n"/>
      <c r="Q723" s="7" t="n"/>
      <c r="R723" s="12" t="n"/>
      <c r="S723" s="13">
        <f>IF(OR(R723="",J723=""),"",R723/J723-1)</f>
        <v/>
      </c>
      <c r="T723" s="14">
        <f>IF(OR(L723="",R723="",J723=""),"",SQRT(4+(L723^2-4)*(R723/J723)^2))</f>
        <v/>
      </c>
      <c r="U723" s="7" t="n"/>
      <c r="V723" s="7" t="n"/>
    </row>
    <row r="724">
      <c r="A724" s="7" t="inlineStr">
        <is>
          <t>P-11/4-10-i3</t>
        </is>
      </c>
      <c r="B724" s="7" t="inlineStr">
        <is>
          <t>1 1/4</t>
        </is>
      </c>
      <c r="C724" s="7" t="inlineStr">
        <is>
          <t>P</t>
        </is>
      </c>
      <c r="D724" s="7" t="inlineStr">
        <is>
          <t>PVC-40</t>
        </is>
      </c>
      <c r="E724" s="7" t="n">
        <v>10</v>
      </c>
      <c r="F724" s="7" t="n">
        <v>3</v>
      </c>
      <c r="G724" s="8" t="n"/>
      <c r="H724" s="27" t="n"/>
      <c r="I724" s="27" t="n"/>
      <c r="J724" s="8" t="n"/>
      <c r="K724" s="8" t="n"/>
      <c r="L724" s="10" t="n"/>
      <c r="M724" s="8" t="n"/>
      <c r="N724" s="11">
        <f>IF(OR(J724="",H724="",I724=""),"",J724/((I724-H724)*1440))</f>
        <v/>
      </c>
      <c r="O724" s="7" t="n"/>
      <c r="P724" s="7" t="n"/>
      <c r="Q724" s="7" t="n"/>
      <c r="R724" s="12" t="n"/>
      <c r="S724" s="13">
        <f>IF(OR(R724="",J724=""),"",R724/J724-1)</f>
        <v/>
      </c>
      <c r="T724" s="14">
        <f>IF(OR(L724="",R724="",J724=""),"",SQRT(4+(L724^2-4)*(R724/J724)^2))</f>
        <v/>
      </c>
      <c r="U724" s="7" t="n"/>
      <c r="V724" s="7" t="n"/>
    </row>
    <row r="725">
      <c r="A725" s="7" t="inlineStr">
        <is>
          <t>X-11/4-0.5-i1</t>
        </is>
      </c>
      <c r="B725" s="7" t="inlineStr">
        <is>
          <t>1 1/4</t>
        </is>
      </c>
      <c r="C725" s="7" t="inlineStr">
        <is>
          <t>X</t>
        </is>
      </c>
      <c r="D725" s="7" t="inlineStr">
        <is>
          <t>PEX-A</t>
        </is>
      </c>
      <c r="E725" s="7" t="n">
        <v>0.5</v>
      </c>
      <c r="F725" s="7" t="n">
        <v>1</v>
      </c>
      <c r="G725" s="8" t="n"/>
      <c r="H725" s="27" t="n"/>
      <c r="I725" s="27" t="n"/>
      <c r="J725" s="8" t="n"/>
      <c r="K725" s="8" t="n"/>
      <c r="L725" s="10" t="n"/>
      <c r="M725" s="8" t="n"/>
      <c r="N725" s="11">
        <f>IF(OR(J725="",H725="",I725=""),"",J725/((I725-H725)*1440))</f>
        <v/>
      </c>
      <c r="O725" s="7" t="n"/>
      <c r="P725" s="7" t="n"/>
      <c r="Q725" s="7" t="n"/>
      <c r="R725" s="12" t="n"/>
      <c r="S725" s="13">
        <f>IF(OR(R725="",J725=""),"",R725/J725-1)</f>
        <v/>
      </c>
      <c r="T725" s="14">
        <f>IF(OR(L725="",R725="",J725=""),"",SQRT(4+(L725^2-4)*(R725/J725)^2))</f>
        <v/>
      </c>
      <c r="U725" s="7" t="n"/>
      <c r="V725" s="7" t="n"/>
    </row>
    <row r="726">
      <c r="A726" s="7" t="inlineStr">
        <is>
          <t>X-11/4-0.5-i2</t>
        </is>
      </c>
      <c r="B726" s="7" t="inlineStr">
        <is>
          <t>1 1/4</t>
        </is>
      </c>
      <c r="C726" s="7" t="inlineStr">
        <is>
          <t>X</t>
        </is>
      </c>
      <c r="D726" s="7" t="inlineStr">
        <is>
          <t>PEX-A</t>
        </is>
      </c>
      <c r="E726" s="7" t="n">
        <v>0.5</v>
      </c>
      <c r="F726" s="7" t="n">
        <v>2</v>
      </c>
      <c r="G726" s="8" t="n"/>
      <c r="H726" s="27" t="n"/>
      <c r="I726" s="27" t="n"/>
      <c r="J726" s="8" t="n"/>
      <c r="K726" s="8" t="n"/>
      <c r="L726" s="10" t="n"/>
      <c r="M726" s="8" t="n"/>
      <c r="N726" s="11">
        <f>IF(OR(J726="",H726="",I726=""),"",J726/((I726-H726)*1440))</f>
        <v/>
      </c>
      <c r="O726" s="7" t="n"/>
      <c r="P726" s="7" t="n"/>
      <c r="Q726" s="7" t="n"/>
      <c r="R726" s="12" t="n"/>
      <c r="S726" s="13">
        <f>IF(OR(R726="",J726=""),"",R726/J726-1)</f>
        <v/>
      </c>
      <c r="T726" s="14">
        <f>IF(OR(L726="",R726="",J726=""),"",SQRT(4+(L726^2-4)*(R726/J726)^2))</f>
        <v/>
      </c>
      <c r="U726" s="7" t="n"/>
      <c r="V726" s="7" t="n"/>
    </row>
    <row r="727">
      <c r="A727" s="7" t="inlineStr">
        <is>
          <t>X-11/4-0.5-i3</t>
        </is>
      </c>
      <c r="B727" s="7" t="inlineStr">
        <is>
          <t>1 1/4</t>
        </is>
      </c>
      <c r="C727" s="7" t="inlineStr">
        <is>
          <t>X</t>
        </is>
      </c>
      <c r="D727" s="7" t="inlineStr">
        <is>
          <t>PEX-A</t>
        </is>
      </c>
      <c r="E727" s="7" t="n">
        <v>0.5</v>
      </c>
      <c r="F727" s="7" t="n">
        <v>3</v>
      </c>
      <c r="G727" s="8" t="n"/>
      <c r="H727" s="27" t="n"/>
      <c r="I727" s="27" t="n"/>
      <c r="J727" s="8" t="n"/>
      <c r="K727" s="8" t="n"/>
      <c r="L727" s="10" t="n"/>
      <c r="M727" s="8" t="n"/>
      <c r="N727" s="11">
        <f>IF(OR(J727="",H727="",I727=""),"",J727/((I727-H727)*1440))</f>
        <v/>
      </c>
      <c r="O727" s="7" t="n"/>
      <c r="P727" s="7" t="n"/>
      <c r="Q727" s="7" t="n"/>
      <c r="R727" s="12" t="n"/>
      <c r="S727" s="13">
        <f>IF(OR(R727="",J727=""),"",R727/J727-1)</f>
        <v/>
      </c>
      <c r="T727" s="14">
        <f>IF(OR(L727="",R727="",J727=""),"",SQRT(4+(L727^2-4)*(R727/J727)^2))</f>
        <v/>
      </c>
      <c r="U727" s="7" t="n"/>
      <c r="V727" s="7" t="n"/>
    </row>
    <row r="728">
      <c r="A728" s="7" t="inlineStr">
        <is>
          <t>X-11/4-1-i1</t>
        </is>
      </c>
      <c r="B728" s="7" t="inlineStr">
        <is>
          <t>1 1/4</t>
        </is>
      </c>
      <c r="C728" s="7" t="inlineStr">
        <is>
          <t>X</t>
        </is>
      </c>
      <c r="D728" s="7" t="inlineStr">
        <is>
          <t>PEX-A</t>
        </is>
      </c>
      <c r="E728" s="7" t="n">
        <v>1</v>
      </c>
      <c r="F728" s="7" t="n">
        <v>1</v>
      </c>
      <c r="G728" s="8" t="n"/>
      <c r="H728" s="27" t="n"/>
      <c r="I728" s="27" t="n"/>
      <c r="J728" s="8" t="n"/>
      <c r="K728" s="8" t="n"/>
      <c r="L728" s="10" t="n"/>
      <c r="M728" s="8" t="n"/>
      <c r="N728" s="11">
        <f>IF(OR(J728="",H728="",I728=""),"",J728/((I728-H728)*1440))</f>
        <v/>
      </c>
      <c r="O728" s="7" t="n"/>
      <c r="P728" s="7" t="n"/>
      <c r="Q728" s="7" t="n"/>
      <c r="R728" s="12" t="n"/>
      <c r="S728" s="13">
        <f>IF(OR(R728="",J728=""),"",R728/J728-1)</f>
        <v/>
      </c>
      <c r="T728" s="14">
        <f>IF(OR(L728="",R728="",J728=""),"",SQRT(4+(L728^2-4)*(R728/J728)^2))</f>
        <v/>
      </c>
      <c r="U728" s="7" t="n"/>
      <c r="V728" s="7" t="n"/>
    </row>
    <row r="729">
      <c r="A729" s="7" t="inlineStr">
        <is>
          <t>X-11/4-1-i2</t>
        </is>
      </c>
      <c r="B729" s="7" t="inlineStr">
        <is>
          <t>1 1/4</t>
        </is>
      </c>
      <c r="C729" s="7" t="inlineStr">
        <is>
          <t>X</t>
        </is>
      </c>
      <c r="D729" s="7" t="inlineStr">
        <is>
          <t>PEX-A</t>
        </is>
      </c>
      <c r="E729" s="7" t="n">
        <v>1</v>
      </c>
      <c r="F729" s="7" t="n">
        <v>2</v>
      </c>
      <c r="G729" s="8" t="n"/>
      <c r="H729" s="27" t="n"/>
      <c r="I729" s="27" t="n"/>
      <c r="J729" s="8" t="n"/>
      <c r="K729" s="8" t="n"/>
      <c r="L729" s="10" t="n"/>
      <c r="M729" s="8" t="n"/>
      <c r="N729" s="11">
        <f>IF(OR(J729="",H729="",I729=""),"",J729/((I729-H729)*1440))</f>
        <v/>
      </c>
      <c r="O729" s="7" t="n"/>
      <c r="P729" s="7" t="n"/>
      <c r="Q729" s="7" t="n"/>
      <c r="R729" s="12" t="n"/>
      <c r="S729" s="13">
        <f>IF(OR(R729="",J729=""),"",R729/J729-1)</f>
        <v/>
      </c>
      <c r="T729" s="14">
        <f>IF(OR(L729="",R729="",J729=""),"",SQRT(4+(L729^2-4)*(R729/J729)^2))</f>
        <v/>
      </c>
      <c r="U729" s="7" t="n"/>
      <c r="V729" s="7" t="n"/>
    </row>
    <row r="730">
      <c r="A730" s="7" t="inlineStr">
        <is>
          <t>X-11/4-1-i3</t>
        </is>
      </c>
      <c r="B730" s="7" t="inlineStr">
        <is>
          <t>1 1/4</t>
        </is>
      </c>
      <c r="C730" s="7" t="inlineStr">
        <is>
          <t>X</t>
        </is>
      </c>
      <c r="D730" s="7" t="inlineStr">
        <is>
          <t>PEX-A</t>
        </is>
      </c>
      <c r="E730" s="7" t="n">
        <v>1</v>
      </c>
      <c r="F730" s="7" t="n">
        <v>3</v>
      </c>
      <c r="G730" s="8" t="n"/>
      <c r="H730" s="27" t="n"/>
      <c r="I730" s="27" t="n"/>
      <c r="J730" s="8" t="n"/>
      <c r="K730" s="8" t="n"/>
      <c r="L730" s="10" t="n"/>
      <c r="M730" s="8" t="n"/>
      <c r="N730" s="11">
        <f>IF(OR(J730="",H730="",I730=""),"",J730/((I730-H730)*1440))</f>
        <v/>
      </c>
      <c r="O730" s="7" t="n"/>
      <c r="P730" s="7" t="n"/>
      <c r="Q730" s="7" t="n"/>
      <c r="R730" s="12" t="n"/>
      <c r="S730" s="13">
        <f>IF(OR(R730="",J730=""),"",R730/J730-1)</f>
        <v/>
      </c>
      <c r="T730" s="14">
        <f>IF(OR(L730="",R730="",J730=""),"",SQRT(4+(L730^2-4)*(R730/J730)^2))</f>
        <v/>
      </c>
      <c r="U730" s="7" t="n"/>
      <c r="V730" s="7" t="n"/>
    </row>
    <row r="731">
      <c r="A731" s="7" t="inlineStr">
        <is>
          <t>X-11/4-3-i1</t>
        </is>
      </c>
      <c r="B731" s="7" t="inlineStr">
        <is>
          <t>1 1/4</t>
        </is>
      </c>
      <c r="C731" s="7" t="inlineStr">
        <is>
          <t>X</t>
        </is>
      </c>
      <c r="D731" s="7" t="inlineStr">
        <is>
          <t>PEX-A</t>
        </is>
      </c>
      <c r="E731" s="7" t="n">
        <v>3</v>
      </c>
      <c r="F731" s="7" t="n">
        <v>1</v>
      </c>
      <c r="G731" s="8" t="n"/>
      <c r="H731" s="27" t="n"/>
      <c r="I731" s="27" t="n"/>
      <c r="J731" s="8" t="n"/>
      <c r="K731" s="8" t="n"/>
      <c r="L731" s="10" t="n"/>
      <c r="M731" s="8" t="n"/>
      <c r="N731" s="11">
        <f>IF(OR(J731="",H731="",I731=""),"",J731/((I731-H731)*1440))</f>
        <v/>
      </c>
      <c r="O731" s="7" t="n"/>
      <c r="P731" s="7" t="n"/>
      <c r="Q731" s="7" t="n"/>
      <c r="R731" s="12" t="n"/>
      <c r="S731" s="13">
        <f>IF(OR(R731="",J731=""),"",R731/J731-1)</f>
        <v/>
      </c>
      <c r="T731" s="14">
        <f>IF(OR(L731="",R731="",J731=""),"",SQRT(4+(L731^2-4)*(R731/J731)^2))</f>
        <v/>
      </c>
      <c r="U731" s="7" t="n"/>
      <c r="V731" s="7" t="n"/>
    </row>
    <row r="732">
      <c r="A732" s="7" t="inlineStr">
        <is>
          <t>X-11/4-3-i2</t>
        </is>
      </c>
      <c r="B732" s="7" t="inlineStr">
        <is>
          <t>1 1/4</t>
        </is>
      </c>
      <c r="C732" s="7" t="inlineStr">
        <is>
          <t>X</t>
        </is>
      </c>
      <c r="D732" s="7" t="inlineStr">
        <is>
          <t>PEX-A</t>
        </is>
      </c>
      <c r="E732" s="7" t="n">
        <v>3</v>
      </c>
      <c r="F732" s="7" t="n">
        <v>2</v>
      </c>
      <c r="G732" s="8" t="n"/>
      <c r="H732" s="27" t="n"/>
      <c r="I732" s="27" t="n"/>
      <c r="J732" s="8" t="n"/>
      <c r="K732" s="8" t="n"/>
      <c r="L732" s="10" t="n"/>
      <c r="M732" s="8" t="n"/>
      <c r="N732" s="11">
        <f>IF(OR(J732="",H732="",I732=""),"",J732/((I732-H732)*1440))</f>
        <v/>
      </c>
      <c r="O732" s="7" t="n"/>
      <c r="P732" s="7" t="n"/>
      <c r="Q732" s="7" t="n"/>
      <c r="R732" s="12" t="n"/>
      <c r="S732" s="13">
        <f>IF(OR(R732="",J732=""),"",R732/J732-1)</f>
        <v/>
      </c>
      <c r="T732" s="14">
        <f>IF(OR(L732="",R732="",J732=""),"",SQRT(4+(L732^2-4)*(R732/J732)^2))</f>
        <v/>
      </c>
      <c r="U732" s="7" t="n"/>
      <c r="V732" s="7" t="n"/>
    </row>
    <row r="733">
      <c r="A733" s="7" t="inlineStr">
        <is>
          <t>X-11/4-3-i3</t>
        </is>
      </c>
      <c r="B733" s="7" t="inlineStr">
        <is>
          <t>1 1/4</t>
        </is>
      </c>
      <c r="C733" s="7" t="inlineStr">
        <is>
          <t>X</t>
        </is>
      </c>
      <c r="D733" s="7" t="inlineStr">
        <is>
          <t>PEX-A</t>
        </is>
      </c>
      <c r="E733" s="7" t="n">
        <v>3</v>
      </c>
      <c r="F733" s="7" t="n">
        <v>3</v>
      </c>
      <c r="G733" s="8" t="n"/>
      <c r="H733" s="27" t="n"/>
      <c r="I733" s="27" t="n"/>
      <c r="J733" s="8" t="n"/>
      <c r="K733" s="8" t="n"/>
      <c r="L733" s="10" t="n"/>
      <c r="M733" s="8" t="n"/>
      <c r="N733" s="11">
        <f>IF(OR(J733="",H733="",I733=""),"",J733/((I733-H733)*1440))</f>
        <v/>
      </c>
      <c r="O733" s="7" t="n"/>
      <c r="P733" s="7" t="n"/>
      <c r="Q733" s="7" t="n"/>
      <c r="R733" s="12" t="n"/>
      <c r="S733" s="13">
        <f>IF(OR(R733="",J733=""),"",R733/J733-1)</f>
        <v/>
      </c>
      <c r="T733" s="14">
        <f>IF(OR(L733="",R733="",J733=""),"",SQRT(4+(L733^2-4)*(R733/J733)^2))</f>
        <v/>
      </c>
      <c r="U733" s="7" t="n"/>
      <c r="V733" s="7" t="n"/>
    </row>
    <row r="734">
      <c r="A734" s="7" t="inlineStr">
        <is>
          <t>X-11/4-5-i1</t>
        </is>
      </c>
      <c r="B734" s="7" t="inlineStr">
        <is>
          <t>1 1/4</t>
        </is>
      </c>
      <c r="C734" s="7" t="inlineStr">
        <is>
          <t>X</t>
        </is>
      </c>
      <c r="D734" s="7" t="inlineStr">
        <is>
          <t>PEX-A</t>
        </is>
      </c>
      <c r="E734" s="7" t="n">
        <v>5</v>
      </c>
      <c r="F734" s="7" t="n">
        <v>1</v>
      </c>
      <c r="G734" s="8" t="n"/>
      <c r="H734" s="27" t="n"/>
      <c r="I734" s="27" t="n"/>
      <c r="J734" s="8" t="n"/>
      <c r="K734" s="8" t="n"/>
      <c r="L734" s="10" t="n"/>
      <c r="M734" s="8" t="n"/>
      <c r="N734" s="11">
        <f>IF(OR(J734="",H734="",I734=""),"",J734/((I734-H734)*1440))</f>
        <v/>
      </c>
      <c r="O734" s="7" t="n"/>
      <c r="P734" s="7" t="n"/>
      <c r="Q734" s="7" t="n"/>
      <c r="R734" s="12" t="n"/>
      <c r="S734" s="13">
        <f>IF(OR(R734="",J734=""),"",R734/J734-1)</f>
        <v/>
      </c>
      <c r="T734" s="14">
        <f>IF(OR(L734="",R734="",J734=""),"",SQRT(4+(L734^2-4)*(R734/J734)^2))</f>
        <v/>
      </c>
      <c r="U734" s="7" t="n"/>
      <c r="V734" s="7" t="n"/>
    </row>
    <row r="735">
      <c r="A735" s="7" t="inlineStr">
        <is>
          <t>X-11/4-5-i2</t>
        </is>
      </c>
      <c r="B735" s="7" t="inlineStr">
        <is>
          <t>1 1/4</t>
        </is>
      </c>
      <c r="C735" s="7" t="inlineStr">
        <is>
          <t>X</t>
        </is>
      </c>
      <c r="D735" s="7" t="inlineStr">
        <is>
          <t>PEX-A</t>
        </is>
      </c>
      <c r="E735" s="7" t="n">
        <v>5</v>
      </c>
      <c r="F735" s="7" t="n">
        <v>2</v>
      </c>
      <c r="G735" s="8" t="n"/>
      <c r="H735" s="27" t="n"/>
      <c r="I735" s="27" t="n"/>
      <c r="J735" s="8" t="n"/>
      <c r="K735" s="8" t="n"/>
      <c r="L735" s="10" t="n"/>
      <c r="M735" s="8" t="n"/>
      <c r="N735" s="11">
        <f>IF(OR(J735="",H735="",I735=""),"",J735/((I735-H735)*1440))</f>
        <v/>
      </c>
      <c r="O735" s="7" t="n"/>
      <c r="P735" s="7" t="n"/>
      <c r="Q735" s="7" t="n"/>
      <c r="R735" s="12" t="n"/>
      <c r="S735" s="13">
        <f>IF(OR(R735="",J735=""),"",R735/J735-1)</f>
        <v/>
      </c>
      <c r="T735" s="14">
        <f>IF(OR(L735="",R735="",J735=""),"",SQRT(4+(L735^2-4)*(R735/J735)^2))</f>
        <v/>
      </c>
      <c r="U735" s="7" t="n"/>
      <c r="V735" s="7" t="n"/>
    </row>
    <row r="736">
      <c r="A736" s="7" t="inlineStr">
        <is>
          <t>X-11/4-5-i3</t>
        </is>
      </c>
      <c r="B736" s="7" t="inlineStr">
        <is>
          <t>1 1/4</t>
        </is>
      </c>
      <c r="C736" s="7" t="inlineStr">
        <is>
          <t>X</t>
        </is>
      </c>
      <c r="D736" s="7" t="inlineStr">
        <is>
          <t>PEX-A</t>
        </is>
      </c>
      <c r="E736" s="7" t="n">
        <v>5</v>
      </c>
      <c r="F736" s="7" t="n">
        <v>3</v>
      </c>
      <c r="G736" s="8" t="n"/>
      <c r="H736" s="27" t="n"/>
      <c r="I736" s="27" t="n"/>
      <c r="J736" s="8" t="n"/>
      <c r="K736" s="8" t="n"/>
      <c r="L736" s="10" t="n"/>
      <c r="M736" s="8" t="n"/>
      <c r="N736" s="11">
        <f>IF(OR(J736="",H736="",I736=""),"",J736/((I736-H736)*1440))</f>
        <v/>
      </c>
      <c r="O736" s="7" t="n"/>
      <c r="P736" s="7" t="n"/>
      <c r="Q736" s="7" t="n"/>
      <c r="R736" s="12" t="n"/>
      <c r="S736" s="13">
        <f>IF(OR(R736="",J736=""),"",R736/J736-1)</f>
        <v/>
      </c>
      <c r="T736" s="14">
        <f>IF(OR(L736="",R736="",J736=""),"",SQRT(4+(L736^2-4)*(R736/J736)^2))</f>
        <v/>
      </c>
      <c r="U736" s="7" t="n"/>
      <c r="V736" s="7" t="n"/>
    </row>
    <row r="737">
      <c r="A737" s="7" t="inlineStr">
        <is>
          <t>X-11/4-10-i1</t>
        </is>
      </c>
      <c r="B737" s="7" t="inlineStr">
        <is>
          <t>1 1/4</t>
        </is>
      </c>
      <c r="C737" s="7" t="inlineStr">
        <is>
          <t>X</t>
        </is>
      </c>
      <c r="D737" s="7" t="inlineStr">
        <is>
          <t>PEX-A</t>
        </is>
      </c>
      <c r="E737" s="7" t="n">
        <v>10</v>
      </c>
      <c r="F737" s="7" t="n">
        <v>1</v>
      </c>
      <c r="G737" s="8" t="n"/>
      <c r="H737" s="27" t="n"/>
      <c r="I737" s="27" t="n"/>
      <c r="J737" s="8" t="n"/>
      <c r="K737" s="8" t="n"/>
      <c r="L737" s="10" t="n"/>
      <c r="M737" s="8" t="n"/>
      <c r="N737" s="11">
        <f>IF(OR(J737="",H737="",I737=""),"",J737/((I737-H737)*1440))</f>
        <v/>
      </c>
      <c r="O737" s="7" t="n"/>
      <c r="P737" s="7" t="n"/>
      <c r="Q737" s="7" t="n"/>
      <c r="R737" s="12" t="n"/>
      <c r="S737" s="13">
        <f>IF(OR(R737="",J737=""),"",R737/J737-1)</f>
        <v/>
      </c>
      <c r="T737" s="14">
        <f>IF(OR(L737="",R737="",J737=""),"",SQRT(4+(L737^2-4)*(R737/J737)^2))</f>
        <v/>
      </c>
      <c r="U737" s="7" t="n"/>
      <c r="V737" s="7" t="n"/>
    </row>
    <row r="738">
      <c r="A738" s="7" t="inlineStr">
        <is>
          <t>X-11/4-10-i2</t>
        </is>
      </c>
      <c r="B738" s="7" t="inlineStr">
        <is>
          <t>1 1/4</t>
        </is>
      </c>
      <c r="C738" s="7" t="inlineStr">
        <is>
          <t>X</t>
        </is>
      </c>
      <c r="D738" s="7" t="inlineStr">
        <is>
          <t>PEX-A</t>
        </is>
      </c>
      <c r="E738" s="7" t="n">
        <v>10</v>
      </c>
      <c r="F738" s="7" t="n">
        <v>2</v>
      </c>
      <c r="G738" s="8" t="n"/>
      <c r="H738" s="27" t="n"/>
      <c r="I738" s="27" t="n"/>
      <c r="J738" s="8" t="n"/>
      <c r="K738" s="8" t="n"/>
      <c r="L738" s="10" t="n"/>
      <c r="M738" s="8" t="n"/>
      <c r="N738" s="11">
        <f>IF(OR(J738="",H738="",I738=""),"",J738/((I738-H738)*1440))</f>
        <v/>
      </c>
      <c r="O738" s="7" t="n"/>
      <c r="P738" s="7" t="n"/>
      <c r="Q738" s="7" t="n"/>
      <c r="R738" s="12" t="n"/>
      <c r="S738" s="13">
        <f>IF(OR(R738="",J738=""),"",R738/J738-1)</f>
        <v/>
      </c>
      <c r="T738" s="14">
        <f>IF(OR(L738="",R738="",J738=""),"",SQRT(4+(L738^2-4)*(R738/J738)^2))</f>
        <v/>
      </c>
      <c r="U738" s="7" t="n"/>
      <c r="V738" s="7" t="n"/>
    </row>
    <row r="739">
      <c r="A739" s="7" t="inlineStr">
        <is>
          <t>X-11/4-10-i3</t>
        </is>
      </c>
      <c r="B739" s="7" t="inlineStr">
        <is>
          <t>1 1/4</t>
        </is>
      </c>
      <c r="C739" s="7" t="inlineStr">
        <is>
          <t>X</t>
        </is>
      </c>
      <c r="D739" s="7" t="inlineStr">
        <is>
          <t>PEX-A</t>
        </is>
      </c>
      <c r="E739" s="7" t="n">
        <v>10</v>
      </c>
      <c r="F739" s="7" t="n">
        <v>3</v>
      </c>
      <c r="G739" s="8" t="n"/>
      <c r="H739" s="27" t="n"/>
      <c r="I739" s="27" t="n"/>
      <c r="J739" s="8" t="n"/>
      <c r="K739" s="8" t="n"/>
      <c r="L739" s="10" t="n"/>
      <c r="M739" s="8" t="n"/>
      <c r="N739" s="11">
        <f>IF(OR(J739="",H739="",I739=""),"",J739/((I739-H739)*1440))</f>
        <v/>
      </c>
      <c r="O739" s="7" t="n"/>
      <c r="P739" s="7" t="n"/>
      <c r="Q739" s="7" t="n"/>
      <c r="R739" s="12" t="n"/>
      <c r="S739" s="13">
        <f>IF(OR(R739="",J739=""),"",R739/J739-1)</f>
        <v/>
      </c>
      <c r="T739" s="14">
        <f>IF(OR(L739="",R739="",J739=""),"",SQRT(4+(L739^2-4)*(R739/J739)^2))</f>
        <v/>
      </c>
      <c r="U739" s="7" t="n"/>
      <c r="V739" s="7" t="n"/>
    </row>
    <row r="740">
      <c r="A740" s="7" t="inlineStr">
        <is>
          <t>p-11/4-0.5-i1</t>
        </is>
      </c>
      <c r="B740" s="7" t="inlineStr">
        <is>
          <t>1 1/4</t>
        </is>
      </c>
      <c r="C740" s="7" t="inlineStr">
        <is>
          <t>p</t>
        </is>
      </c>
      <c r="D740" s="7" t="inlineStr">
        <is>
          <t>PVC-80</t>
        </is>
      </c>
      <c r="E740" s="7" t="n">
        <v>0.5</v>
      </c>
      <c r="F740" s="7" t="n">
        <v>1</v>
      </c>
      <c r="G740" s="8" t="n"/>
      <c r="H740" s="27" t="n"/>
      <c r="I740" s="27" t="n"/>
      <c r="J740" s="8" t="n"/>
      <c r="K740" s="8" t="n"/>
      <c r="L740" s="10" t="n"/>
      <c r="M740" s="8" t="n"/>
      <c r="N740" s="11">
        <f>IF(OR(J740="",H740="",I740=""),"",J740/((I740-H740)*1440))</f>
        <v/>
      </c>
      <c r="O740" s="7" t="n"/>
      <c r="P740" s="7" t="n"/>
      <c r="Q740" s="7" t="n"/>
      <c r="R740" s="12" t="n"/>
      <c r="S740" s="13">
        <f>IF(OR(R740="",J740=""),"",R740/J740-1)</f>
        <v/>
      </c>
      <c r="T740" s="14">
        <f>IF(OR(L740="",R740="",J740=""),"",SQRT(4+(L740^2-4)*(R740/J740)^2))</f>
        <v/>
      </c>
      <c r="U740" s="7" t="n"/>
      <c r="V740" s="7" t="n"/>
    </row>
    <row r="741">
      <c r="A741" s="7" t="inlineStr">
        <is>
          <t>p-11/4-0.5-i2</t>
        </is>
      </c>
      <c r="B741" s="7" t="inlineStr">
        <is>
          <t>1 1/4</t>
        </is>
      </c>
      <c r="C741" s="7" t="inlineStr">
        <is>
          <t>p</t>
        </is>
      </c>
      <c r="D741" s="7" t="inlineStr">
        <is>
          <t>PVC-80</t>
        </is>
      </c>
      <c r="E741" s="7" t="n">
        <v>0.5</v>
      </c>
      <c r="F741" s="7" t="n">
        <v>2</v>
      </c>
      <c r="G741" s="8" t="n"/>
      <c r="H741" s="27" t="n"/>
      <c r="I741" s="27" t="n"/>
      <c r="J741" s="8" t="n"/>
      <c r="K741" s="8" t="n"/>
      <c r="L741" s="10" t="n"/>
      <c r="M741" s="8" t="n"/>
      <c r="N741" s="11">
        <f>IF(OR(J741="",H741="",I741=""),"",J741/((I741-H741)*1440))</f>
        <v/>
      </c>
      <c r="O741" s="7" t="n"/>
      <c r="P741" s="7" t="n"/>
      <c r="Q741" s="7" t="n"/>
      <c r="R741" s="12" t="n"/>
      <c r="S741" s="13">
        <f>IF(OR(R741="",J741=""),"",R741/J741-1)</f>
        <v/>
      </c>
      <c r="T741" s="14">
        <f>IF(OR(L741="",R741="",J741=""),"",SQRT(4+(L741^2-4)*(R741/J741)^2))</f>
        <v/>
      </c>
      <c r="U741" s="7" t="n"/>
      <c r="V741" s="7" t="n"/>
    </row>
    <row r="742">
      <c r="A742" s="7" t="inlineStr">
        <is>
          <t>p-11/4-0.5-i3</t>
        </is>
      </c>
      <c r="B742" s="7" t="inlineStr">
        <is>
          <t>1 1/4</t>
        </is>
      </c>
      <c r="C742" s="7" t="inlineStr">
        <is>
          <t>p</t>
        </is>
      </c>
      <c r="D742" s="7" t="inlineStr">
        <is>
          <t>PVC-80</t>
        </is>
      </c>
      <c r="E742" s="7" t="n">
        <v>0.5</v>
      </c>
      <c r="F742" s="7" t="n">
        <v>3</v>
      </c>
      <c r="G742" s="8" t="n"/>
      <c r="H742" s="27" t="n"/>
      <c r="I742" s="27" t="n"/>
      <c r="J742" s="8" t="n"/>
      <c r="K742" s="8" t="n"/>
      <c r="L742" s="10" t="n"/>
      <c r="M742" s="8" t="n"/>
      <c r="N742" s="11">
        <f>IF(OR(J742="",H742="",I742=""),"",J742/((I742-H742)*1440))</f>
        <v/>
      </c>
      <c r="O742" s="7" t="n"/>
      <c r="P742" s="7" t="n"/>
      <c r="Q742" s="7" t="n"/>
      <c r="R742" s="12" t="n"/>
      <c r="S742" s="13">
        <f>IF(OR(R742="",J742=""),"",R742/J742-1)</f>
        <v/>
      </c>
      <c r="T742" s="14">
        <f>IF(OR(L742="",R742="",J742=""),"",SQRT(4+(L742^2-4)*(R742/J742)^2))</f>
        <v/>
      </c>
      <c r="U742" s="7" t="n"/>
      <c r="V742" s="7" t="n"/>
    </row>
    <row r="743">
      <c r="A743" s="7" t="inlineStr">
        <is>
          <t>p-11/4-1-i1</t>
        </is>
      </c>
      <c r="B743" s="7" t="inlineStr">
        <is>
          <t>1 1/4</t>
        </is>
      </c>
      <c r="C743" s="7" t="inlineStr">
        <is>
          <t>p</t>
        </is>
      </c>
      <c r="D743" s="7" t="inlineStr">
        <is>
          <t>PVC-80</t>
        </is>
      </c>
      <c r="E743" s="7" t="n">
        <v>1</v>
      </c>
      <c r="F743" s="7" t="n">
        <v>1</v>
      </c>
      <c r="G743" s="8" t="n"/>
      <c r="H743" s="27" t="n"/>
      <c r="I743" s="27" t="n"/>
      <c r="J743" s="8" t="n"/>
      <c r="K743" s="8" t="n"/>
      <c r="L743" s="10" t="n"/>
      <c r="M743" s="8" t="n"/>
      <c r="N743" s="11">
        <f>IF(OR(J743="",H743="",I743=""),"",J743/((I743-H743)*1440))</f>
        <v/>
      </c>
      <c r="O743" s="7" t="n"/>
      <c r="P743" s="7" t="n"/>
      <c r="Q743" s="7" t="n"/>
      <c r="R743" s="12" t="n"/>
      <c r="S743" s="13">
        <f>IF(OR(R743="",J743=""),"",R743/J743-1)</f>
        <v/>
      </c>
      <c r="T743" s="14">
        <f>IF(OR(L743="",R743="",J743=""),"",SQRT(4+(L743^2-4)*(R743/J743)^2))</f>
        <v/>
      </c>
      <c r="U743" s="7" t="n"/>
      <c r="V743" s="7" t="n"/>
    </row>
    <row r="744">
      <c r="A744" s="7" t="inlineStr">
        <is>
          <t>p-11/4-1-i2</t>
        </is>
      </c>
      <c r="B744" s="7" t="inlineStr">
        <is>
          <t>1 1/4</t>
        </is>
      </c>
      <c r="C744" s="7" t="inlineStr">
        <is>
          <t>p</t>
        </is>
      </c>
      <c r="D744" s="7" t="inlineStr">
        <is>
          <t>PVC-80</t>
        </is>
      </c>
      <c r="E744" s="7" t="n">
        <v>1</v>
      </c>
      <c r="F744" s="7" t="n">
        <v>2</v>
      </c>
      <c r="G744" s="8" t="n"/>
      <c r="H744" s="27" t="n"/>
      <c r="I744" s="27" t="n"/>
      <c r="J744" s="8" t="n"/>
      <c r="K744" s="8" t="n"/>
      <c r="L744" s="10" t="n"/>
      <c r="M744" s="8" t="n"/>
      <c r="N744" s="11">
        <f>IF(OR(J744="",H744="",I744=""),"",J744/((I744-H744)*1440))</f>
        <v/>
      </c>
      <c r="O744" s="7" t="n"/>
      <c r="P744" s="7" t="n"/>
      <c r="Q744" s="7" t="n"/>
      <c r="R744" s="12" t="n"/>
      <c r="S744" s="13">
        <f>IF(OR(R744="",J744=""),"",R744/J744-1)</f>
        <v/>
      </c>
      <c r="T744" s="14">
        <f>IF(OR(L744="",R744="",J744=""),"",SQRT(4+(L744^2-4)*(R744/J744)^2))</f>
        <v/>
      </c>
      <c r="U744" s="7" t="n"/>
      <c r="V744" s="7" t="n"/>
    </row>
    <row r="745">
      <c r="A745" s="7" t="inlineStr">
        <is>
          <t>p-11/4-1-i3</t>
        </is>
      </c>
      <c r="B745" s="7" t="inlineStr">
        <is>
          <t>1 1/4</t>
        </is>
      </c>
      <c r="C745" s="7" t="inlineStr">
        <is>
          <t>p</t>
        </is>
      </c>
      <c r="D745" s="7" t="inlineStr">
        <is>
          <t>PVC-80</t>
        </is>
      </c>
      <c r="E745" s="7" t="n">
        <v>1</v>
      </c>
      <c r="F745" s="7" t="n">
        <v>3</v>
      </c>
      <c r="G745" s="8" t="n"/>
      <c r="H745" s="27" t="n"/>
      <c r="I745" s="27" t="n"/>
      <c r="J745" s="8" t="n"/>
      <c r="K745" s="8" t="n"/>
      <c r="L745" s="10" t="n"/>
      <c r="M745" s="8" t="n"/>
      <c r="N745" s="11">
        <f>IF(OR(J745="",H745="",I745=""),"",J745/((I745-H745)*1440))</f>
        <v/>
      </c>
      <c r="O745" s="7" t="n"/>
      <c r="P745" s="7" t="n"/>
      <c r="Q745" s="7" t="n"/>
      <c r="R745" s="12" t="n"/>
      <c r="S745" s="13">
        <f>IF(OR(R745="",J745=""),"",R745/J745-1)</f>
        <v/>
      </c>
      <c r="T745" s="14">
        <f>IF(OR(L745="",R745="",J745=""),"",SQRT(4+(L745^2-4)*(R745/J745)^2))</f>
        <v/>
      </c>
      <c r="U745" s="7" t="n"/>
      <c r="V745" s="7" t="n"/>
    </row>
    <row r="746">
      <c r="A746" s="7" t="inlineStr">
        <is>
          <t>p-11/4-3-i1</t>
        </is>
      </c>
      <c r="B746" s="7" t="inlineStr">
        <is>
          <t>1 1/4</t>
        </is>
      </c>
      <c r="C746" s="7" t="inlineStr">
        <is>
          <t>p</t>
        </is>
      </c>
      <c r="D746" s="7" t="inlineStr">
        <is>
          <t>PVC-80</t>
        </is>
      </c>
      <c r="E746" s="7" t="n">
        <v>3</v>
      </c>
      <c r="F746" s="7" t="n">
        <v>1</v>
      </c>
      <c r="G746" s="8" t="n"/>
      <c r="H746" s="27" t="n"/>
      <c r="I746" s="27" t="n"/>
      <c r="J746" s="8" t="n"/>
      <c r="K746" s="8" t="n"/>
      <c r="L746" s="10" t="n"/>
      <c r="M746" s="8" t="n"/>
      <c r="N746" s="11">
        <f>IF(OR(J746="",H746="",I746=""),"",J746/((I746-H746)*1440))</f>
        <v/>
      </c>
      <c r="O746" s="7" t="n"/>
      <c r="P746" s="7" t="n"/>
      <c r="Q746" s="7" t="n"/>
      <c r="R746" s="12" t="n"/>
      <c r="S746" s="13">
        <f>IF(OR(R746="",J746=""),"",R746/J746-1)</f>
        <v/>
      </c>
      <c r="T746" s="14">
        <f>IF(OR(L746="",R746="",J746=""),"",SQRT(4+(L746^2-4)*(R746/J746)^2))</f>
        <v/>
      </c>
      <c r="U746" s="7" t="n"/>
      <c r="V746" s="7" t="n"/>
    </row>
    <row r="747">
      <c r="A747" s="7" t="inlineStr">
        <is>
          <t>p-11/4-3-i2</t>
        </is>
      </c>
      <c r="B747" s="7" t="inlineStr">
        <is>
          <t>1 1/4</t>
        </is>
      </c>
      <c r="C747" s="7" t="inlineStr">
        <is>
          <t>p</t>
        </is>
      </c>
      <c r="D747" s="7" t="inlineStr">
        <is>
          <t>PVC-80</t>
        </is>
      </c>
      <c r="E747" s="7" t="n">
        <v>3</v>
      </c>
      <c r="F747" s="7" t="n">
        <v>2</v>
      </c>
      <c r="G747" s="8" t="n"/>
      <c r="H747" s="27" t="n"/>
      <c r="I747" s="27" t="n"/>
      <c r="J747" s="8" t="n"/>
      <c r="K747" s="8" t="n"/>
      <c r="L747" s="10" t="n"/>
      <c r="M747" s="8" t="n"/>
      <c r="N747" s="11">
        <f>IF(OR(J747="",H747="",I747=""),"",J747/((I747-H747)*1440))</f>
        <v/>
      </c>
      <c r="O747" s="7" t="n"/>
      <c r="P747" s="7" t="n"/>
      <c r="Q747" s="7" t="n"/>
      <c r="R747" s="12" t="n"/>
      <c r="S747" s="13">
        <f>IF(OR(R747="",J747=""),"",R747/J747-1)</f>
        <v/>
      </c>
      <c r="T747" s="14">
        <f>IF(OR(L747="",R747="",J747=""),"",SQRT(4+(L747^2-4)*(R747/J747)^2))</f>
        <v/>
      </c>
      <c r="U747" s="7" t="n"/>
      <c r="V747" s="7" t="n"/>
    </row>
    <row r="748">
      <c r="A748" s="7" t="inlineStr">
        <is>
          <t>p-11/4-3-i3</t>
        </is>
      </c>
      <c r="B748" s="7" t="inlineStr">
        <is>
          <t>1 1/4</t>
        </is>
      </c>
      <c r="C748" s="7" t="inlineStr">
        <is>
          <t>p</t>
        </is>
      </c>
      <c r="D748" s="7" t="inlineStr">
        <is>
          <t>PVC-80</t>
        </is>
      </c>
      <c r="E748" s="7" t="n">
        <v>3</v>
      </c>
      <c r="F748" s="7" t="n">
        <v>3</v>
      </c>
      <c r="G748" s="8" t="n"/>
      <c r="H748" s="27" t="n"/>
      <c r="I748" s="27" t="n"/>
      <c r="J748" s="8" t="n"/>
      <c r="K748" s="8" t="n"/>
      <c r="L748" s="10" t="n"/>
      <c r="M748" s="8" t="n"/>
      <c r="N748" s="11">
        <f>IF(OR(J748="",H748="",I748=""),"",J748/((I748-H748)*1440))</f>
        <v/>
      </c>
      <c r="O748" s="7" t="n"/>
      <c r="P748" s="7" t="n"/>
      <c r="Q748" s="7" t="n"/>
      <c r="R748" s="12" t="n"/>
      <c r="S748" s="13">
        <f>IF(OR(R748="",J748=""),"",R748/J748-1)</f>
        <v/>
      </c>
      <c r="T748" s="14">
        <f>IF(OR(L748="",R748="",J748=""),"",SQRT(4+(L748^2-4)*(R748/J748)^2))</f>
        <v/>
      </c>
      <c r="U748" s="7" t="n"/>
      <c r="V748" s="7" t="n"/>
    </row>
    <row r="749">
      <c r="A749" s="7" t="inlineStr">
        <is>
          <t>p-11/4-5-i1</t>
        </is>
      </c>
      <c r="B749" s="7" t="inlineStr">
        <is>
          <t>1 1/4</t>
        </is>
      </c>
      <c r="C749" s="7" t="inlineStr">
        <is>
          <t>p</t>
        </is>
      </c>
      <c r="D749" s="7" t="inlineStr">
        <is>
          <t>PVC-80</t>
        </is>
      </c>
      <c r="E749" s="7" t="n">
        <v>5</v>
      </c>
      <c r="F749" s="7" t="n">
        <v>1</v>
      </c>
      <c r="G749" s="8" t="n"/>
      <c r="H749" s="27" t="n"/>
      <c r="I749" s="27" t="n"/>
      <c r="J749" s="8" t="n"/>
      <c r="K749" s="8" t="n"/>
      <c r="L749" s="10" t="n"/>
      <c r="M749" s="8" t="n"/>
      <c r="N749" s="11">
        <f>IF(OR(J749="",H749="",I749=""),"",J749/((I749-H749)*1440))</f>
        <v/>
      </c>
      <c r="O749" s="7" t="n"/>
      <c r="P749" s="7" t="n"/>
      <c r="Q749" s="7" t="n"/>
      <c r="R749" s="12" t="n"/>
      <c r="S749" s="13">
        <f>IF(OR(R749="",J749=""),"",R749/J749-1)</f>
        <v/>
      </c>
      <c r="T749" s="14">
        <f>IF(OR(L749="",R749="",J749=""),"",SQRT(4+(L749^2-4)*(R749/J749)^2))</f>
        <v/>
      </c>
      <c r="U749" s="7" t="n"/>
      <c r="V749" s="7" t="n"/>
    </row>
    <row r="750">
      <c r="A750" s="7" t="inlineStr">
        <is>
          <t>p-11/4-5-i2</t>
        </is>
      </c>
      <c r="B750" s="7" t="inlineStr">
        <is>
          <t>1 1/4</t>
        </is>
      </c>
      <c r="C750" s="7" t="inlineStr">
        <is>
          <t>p</t>
        </is>
      </c>
      <c r="D750" s="7" t="inlineStr">
        <is>
          <t>PVC-80</t>
        </is>
      </c>
      <c r="E750" s="7" t="n">
        <v>5</v>
      </c>
      <c r="F750" s="7" t="n">
        <v>2</v>
      </c>
      <c r="G750" s="8" t="n"/>
      <c r="H750" s="27" t="n"/>
      <c r="I750" s="27" t="n"/>
      <c r="J750" s="8" t="n"/>
      <c r="K750" s="8" t="n"/>
      <c r="L750" s="10" t="n"/>
      <c r="M750" s="8" t="n"/>
      <c r="N750" s="11">
        <f>IF(OR(J750="",H750="",I750=""),"",J750/((I750-H750)*1440))</f>
        <v/>
      </c>
      <c r="O750" s="7" t="n"/>
      <c r="P750" s="7" t="n"/>
      <c r="Q750" s="7" t="n"/>
      <c r="R750" s="12" t="n"/>
      <c r="S750" s="13">
        <f>IF(OR(R750="",J750=""),"",R750/J750-1)</f>
        <v/>
      </c>
      <c r="T750" s="14">
        <f>IF(OR(L750="",R750="",J750=""),"",SQRT(4+(L750^2-4)*(R750/J750)^2))</f>
        <v/>
      </c>
      <c r="U750" s="7" t="n"/>
      <c r="V750" s="7" t="n"/>
    </row>
    <row r="751">
      <c r="A751" s="7" t="inlineStr">
        <is>
          <t>p-11/4-5-i3</t>
        </is>
      </c>
      <c r="B751" s="7" t="inlineStr">
        <is>
          <t>1 1/4</t>
        </is>
      </c>
      <c r="C751" s="7" t="inlineStr">
        <is>
          <t>p</t>
        </is>
      </c>
      <c r="D751" s="7" t="inlineStr">
        <is>
          <t>PVC-80</t>
        </is>
      </c>
      <c r="E751" s="7" t="n">
        <v>5</v>
      </c>
      <c r="F751" s="7" t="n">
        <v>3</v>
      </c>
      <c r="G751" s="8" t="n"/>
      <c r="H751" s="27" t="n"/>
      <c r="I751" s="27" t="n"/>
      <c r="J751" s="8" t="n"/>
      <c r="K751" s="8" t="n"/>
      <c r="L751" s="10" t="n"/>
      <c r="M751" s="8" t="n"/>
      <c r="N751" s="11">
        <f>IF(OR(J751="",H751="",I751=""),"",J751/((I751-H751)*1440))</f>
        <v/>
      </c>
      <c r="O751" s="7" t="n"/>
      <c r="P751" s="7" t="n"/>
      <c r="Q751" s="7" t="n"/>
      <c r="R751" s="12" t="n"/>
      <c r="S751" s="13">
        <f>IF(OR(R751="",J751=""),"",R751/J751-1)</f>
        <v/>
      </c>
      <c r="T751" s="14">
        <f>IF(OR(L751="",R751="",J751=""),"",SQRT(4+(L751^2-4)*(R751/J751)^2))</f>
        <v/>
      </c>
      <c r="U751" s="7" t="n"/>
      <c r="V751" s="7" t="n"/>
    </row>
    <row r="752">
      <c r="A752" s="7" t="inlineStr">
        <is>
          <t>p-11/4-10-i1</t>
        </is>
      </c>
      <c r="B752" s="7" t="inlineStr">
        <is>
          <t>1 1/4</t>
        </is>
      </c>
      <c r="C752" s="7" t="inlineStr">
        <is>
          <t>p</t>
        </is>
      </c>
      <c r="D752" s="7" t="inlineStr">
        <is>
          <t>PVC-80</t>
        </is>
      </c>
      <c r="E752" s="7" t="n">
        <v>10</v>
      </c>
      <c r="F752" s="7" t="n">
        <v>1</v>
      </c>
      <c r="G752" s="8" t="n"/>
      <c r="H752" s="27" t="n"/>
      <c r="I752" s="27" t="n"/>
      <c r="J752" s="8" t="n"/>
      <c r="K752" s="8" t="n"/>
      <c r="L752" s="10" t="n"/>
      <c r="M752" s="8" t="n"/>
      <c r="N752" s="11">
        <f>IF(OR(J752="",H752="",I752=""),"",J752/((I752-H752)*1440))</f>
        <v/>
      </c>
      <c r="O752" s="7" t="n"/>
      <c r="P752" s="7" t="n"/>
      <c r="Q752" s="7" t="n"/>
      <c r="R752" s="12" t="n"/>
      <c r="S752" s="13">
        <f>IF(OR(R752="",J752=""),"",R752/J752-1)</f>
        <v/>
      </c>
      <c r="T752" s="14">
        <f>IF(OR(L752="",R752="",J752=""),"",SQRT(4+(L752^2-4)*(R752/J752)^2))</f>
        <v/>
      </c>
      <c r="U752" s="7" t="n"/>
      <c r="V752" s="7" t="n"/>
    </row>
    <row r="753">
      <c r="A753" s="7" t="inlineStr">
        <is>
          <t>p-11/4-10-i2</t>
        </is>
      </c>
      <c r="B753" s="7" t="inlineStr">
        <is>
          <t>1 1/4</t>
        </is>
      </c>
      <c r="C753" s="7" t="inlineStr">
        <is>
          <t>p</t>
        </is>
      </c>
      <c r="D753" s="7" t="inlineStr">
        <is>
          <t>PVC-80</t>
        </is>
      </c>
      <c r="E753" s="7" t="n">
        <v>10</v>
      </c>
      <c r="F753" s="7" t="n">
        <v>2</v>
      </c>
      <c r="G753" s="8" t="n"/>
      <c r="H753" s="27" t="n"/>
      <c r="I753" s="27" t="n"/>
      <c r="J753" s="8" t="n"/>
      <c r="K753" s="8" t="n"/>
      <c r="L753" s="10" t="n"/>
      <c r="M753" s="8" t="n"/>
      <c r="N753" s="11">
        <f>IF(OR(J753="",H753="",I753=""),"",J753/((I753-H753)*1440))</f>
        <v/>
      </c>
      <c r="O753" s="7" t="n"/>
      <c r="P753" s="7" t="n"/>
      <c r="Q753" s="7" t="n"/>
      <c r="R753" s="12" t="n"/>
      <c r="S753" s="13">
        <f>IF(OR(R753="",J753=""),"",R753/J753-1)</f>
        <v/>
      </c>
      <c r="T753" s="14">
        <f>IF(OR(L753="",R753="",J753=""),"",SQRT(4+(L753^2-4)*(R753/J753)^2))</f>
        <v/>
      </c>
      <c r="U753" s="7" t="n"/>
      <c r="V753" s="7" t="n"/>
    </row>
    <row r="754">
      <c r="A754" s="7" t="inlineStr">
        <is>
          <t>p-11/4-10-i3</t>
        </is>
      </c>
      <c r="B754" s="7" t="inlineStr">
        <is>
          <t>1 1/4</t>
        </is>
      </c>
      <c r="C754" s="7" t="inlineStr">
        <is>
          <t>p</t>
        </is>
      </c>
      <c r="D754" s="7" t="inlineStr">
        <is>
          <t>PVC-80</t>
        </is>
      </c>
      <c r="E754" s="7" t="n">
        <v>10</v>
      </c>
      <c r="F754" s="7" t="n">
        <v>3</v>
      </c>
      <c r="G754" s="8" t="n"/>
      <c r="H754" s="27" t="n"/>
      <c r="I754" s="27" t="n"/>
      <c r="J754" s="8" t="n"/>
      <c r="K754" s="8" t="n"/>
      <c r="L754" s="10" t="n"/>
      <c r="M754" s="8" t="n"/>
      <c r="N754" s="11">
        <f>IF(OR(J754="",H754="",I754=""),"",J754/((I754-H754)*1440))</f>
        <v/>
      </c>
      <c r="O754" s="7" t="n"/>
      <c r="P754" s="7" t="n"/>
      <c r="Q754" s="7" t="n"/>
      <c r="R754" s="12" t="n"/>
      <c r="S754" s="13">
        <f>IF(OR(R754="",J754=""),"",R754/J754-1)</f>
        <v/>
      </c>
      <c r="T754" s="14">
        <f>IF(OR(L754="",R754="",J754=""),"",SQRT(4+(L754^2-4)*(R754/J754)^2))</f>
        <v/>
      </c>
      <c r="U754" s="7" t="n"/>
      <c r="V754" s="7" t="n"/>
    </row>
    <row r="755">
      <c r="A755" s="7" t="inlineStr">
        <is>
          <t>x-11/4-0.5-i1</t>
        </is>
      </c>
      <c r="B755" s="7" t="inlineStr">
        <is>
          <t>1 1/4</t>
        </is>
      </c>
      <c r="C755" s="7" t="inlineStr">
        <is>
          <t>x</t>
        </is>
      </c>
      <c r="D755" s="7" t="inlineStr">
        <is>
          <t>PEX-B</t>
        </is>
      </c>
      <c r="E755" s="7" t="n">
        <v>0.5</v>
      </c>
      <c r="F755" s="7" t="n">
        <v>1</v>
      </c>
      <c r="G755" s="8" t="n"/>
      <c r="H755" s="27" t="n"/>
      <c r="I755" s="27" t="n"/>
      <c r="J755" s="8" t="n"/>
      <c r="K755" s="8" t="n"/>
      <c r="L755" s="10" t="n"/>
      <c r="M755" s="8" t="n"/>
      <c r="N755" s="11">
        <f>IF(OR(J755="",H755="",I755=""),"",J755/((I755-H755)*1440))</f>
        <v/>
      </c>
      <c r="O755" s="7" t="n"/>
      <c r="P755" s="7" t="n"/>
      <c r="Q755" s="7" t="n"/>
      <c r="R755" s="12" t="n"/>
      <c r="S755" s="13">
        <f>IF(OR(R755="",J755=""),"",R755/J755-1)</f>
        <v/>
      </c>
      <c r="T755" s="14">
        <f>IF(OR(L755="",R755="",J755=""),"",SQRT(4+(L755^2-4)*(R755/J755)^2))</f>
        <v/>
      </c>
      <c r="U755" s="7" t="n"/>
      <c r="V755" s="7" t="n"/>
    </row>
    <row r="756">
      <c r="A756" s="7" t="inlineStr">
        <is>
          <t>x-11/4-0.5-i2</t>
        </is>
      </c>
      <c r="B756" s="7" t="inlineStr">
        <is>
          <t>1 1/4</t>
        </is>
      </c>
      <c r="C756" s="7" t="inlineStr">
        <is>
          <t>x</t>
        </is>
      </c>
      <c r="D756" s="7" t="inlineStr">
        <is>
          <t>PEX-B</t>
        </is>
      </c>
      <c r="E756" s="7" t="n">
        <v>0.5</v>
      </c>
      <c r="F756" s="7" t="n">
        <v>2</v>
      </c>
      <c r="G756" s="8" t="n"/>
      <c r="H756" s="27" t="n"/>
      <c r="I756" s="27" t="n"/>
      <c r="J756" s="8" t="n"/>
      <c r="K756" s="8" t="n"/>
      <c r="L756" s="10" t="n"/>
      <c r="M756" s="8" t="n"/>
      <c r="N756" s="11">
        <f>IF(OR(J756="",H756="",I756=""),"",J756/((I756-H756)*1440))</f>
        <v/>
      </c>
      <c r="O756" s="7" t="n"/>
      <c r="P756" s="7" t="n"/>
      <c r="Q756" s="7" t="n"/>
      <c r="R756" s="12" t="n"/>
      <c r="S756" s="13">
        <f>IF(OR(R756="",J756=""),"",R756/J756-1)</f>
        <v/>
      </c>
      <c r="T756" s="14">
        <f>IF(OR(L756="",R756="",J756=""),"",SQRT(4+(L756^2-4)*(R756/J756)^2))</f>
        <v/>
      </c>
      <c r="U756" s="7" t="n"/>
      <c r="V756" s="7" t="n"/>
    </row>
    <row r="757">
      <c r="A757" s="7" t="inlineStr">
        <is>
          <t>x-11/4-0.5-i3</t>
        </is>
      </c>
      <c r="B757" s="7" t="inlineStr">
        <is>
          <t>1 1/4</t>
        </is>
      </c>
      <c r="C757" s="7" t="inlineStr">
        <is>
          <t>x</t>
        </is>
      </c>
      <c r="D757" s="7" t="inlineStr">
        <is>
          <t>PEX-B</t>
        </is>
      </c>
      <c r="E757" s="7" t="n">
        <v>0.5</v>
      </c>
      <c r="F757" s="7" t="n">
        <v>3</v>
      </c>
      <c r="G757" s="8" t="n"/>
      <c r="H757" s="27" t="n"/>
      <c r="I757" s="27" t="n"/>
      <c r="J757" s="8" t="n"/>
      <c r="K757" s="8" t="n"/>
      <c r="L757" s="10" t="n"/>
      <c r="M757" s="8" t="n"/>
      <c r="N757" s="11">
        <f>IF(OR(J757="",H757="",I757=""),"",J757/((I757-H757)*1440))</f>
        <v/>
      </c>
      <c r="O757" s="7" t="n"/>
      <c r="P757" s="7" t="n"/>
      <c r="Q757" s="7" t="n"/>
      <c r="R757" s="12" t="n"/>
      <c r="S757" s="13">
        <f>IF(OR(R757="",J757=""),"",R757/J757-1)</f>
        <v/>
      </c>
      <c r="T757" s="14">
        <f>IF(OR(L757="",R757="",J757=""),"",SQRT(4+(L757^2-4)*(R757/J757)^2))</f>
        <v/>
      </c>
      <c r="U757" s="7" t="n"/>
      <c r="V757" s="7" t="n"/>
    </row>
    <row r="758">
      <c r="A758" s="7" t="inlineStr">
        <is>
          <t>x-11/4-1-i1</t>
        </is>
      </c>
      <c r="B758" s="7" t="inlineStr">
        <is>
          <t>1 1/4</t>
        </is>
      </c>
      <c r="C758" s="7" t="inlineStr">
        <is>
          <t>x</t>
        </is>
      </c>
      <c r="D758" s="7" t="inlineStr">
        <is>
          <t>PEX-B</t>
        </is>
      </c>
      <c r="E758" s="7" t="n">
        <v>1</v>
      </c>
      <c r="F758" s="7" t="n">
        <v>1</v>
      </c>
      <c r="G758" s="8" t="n"/>
      <c r="H758" s="27" t="n"/>
      <c r="I758" s="27" t="n"/>
      <c r="J758" s="8" t="n"/>
      <c r="K758" s="8" t="n"/>
      <c r="L758" s="10" t="n"/>
      <c r="M758" s="8" t="n"/>
      <c r="N758" s="11">
        <f>IF(OR(J758="",H758="",I758=""),"",J758/((I758-H758)*1440))</f>
        <v/>
      </c>
      <c r="O758" s="7" t="n"/>
      <c r="P758" s="7" t="n"/>
      <c r="Q758" s="7" t="n"/>
      <c r="R758" s="12" t="n"/>
      <c r="S758" s="13">
        <f>IF(OR(R758="",J758=""),"",R758/J758-1)</f>
        <v/>
      </c>
      <c r="T758" s="14">
        <f>IF(OR(L758="",R758="",J758=""),"",SQRT(4+(L758^2-4)*(R758/J758)^2))</f>
        <v/>
      </c>
      <c r="U758" s="7" t="n"/>
      <c r="V758" s="7" t="n"/>
    </row>
    <row r="759">
      <c r="A759" s="7" t="inlineStr">
        <is>
          <t>x-11/4-1-i2</t>
        </is>
      </c>
      <c r="B759" s="7" t="inlineStr">
        <is>
          <t>1 1/4</t>
        </is>
      </c>
      <c r="C759" s="7" t="inlineStr">
        <is>
          <t>x</t>
        </is>
      </c>
      <c r="D759" s="7" t="inlineStr">
        <is>
          <t>PEX-B</t>
        </is>
      </c>
      <c r="E759" s="7" t="n">
        <v>1</v>
      </c>
      <c r="F759" s="7" t="n">
        <v>2</v>
      </c>
      <c r="G759" s="8" t="n"/>
      <c r="H759" s="27" t="n"/>
      <c r="I759" s="27" t="n"/>
      <c r="J759" s="8" t="n"/>
      <c r="K759" s="8" t="n"/>
      <c r="L759" s="10" t="n"/>
      <c r="M759" s="8" t="n"/>
      <c r="N759" s="11">
        <f>IF(OR(J759="",H759="",I759=""),"",J759/((I759-H759)*1440))</f>
        <v/>
      </c>
      <c r="O759" s="7" t="n"/>
      <c r="P759" s="7" t="n"/>
      <c r="Q759" s="7" t="n"/>
      <c r="R759" s="12" t="n"/>
      <c r="S759" s="13">
        <f>IF(OR(R759="",J759=""),"",R759/J759-1)</f>
        <v/>
      </c>
      <c r="T759" s="14">
        <f>IF(OR(L759="",R759="",J759=""),"",SQRT(4+(L759^2-4)*(R759/J759)^2))</f>
        <v/>
      </c>
      <c r="U759" s="7" t="n"/>
      <c r="V759" s="7" t="n"/>
    </row>
    <row r="760">
      <c r="A760" s="7" t="inlineStr">
        <is>
          <t>x-11/4-1-i3</t>
        </is>
      </c>
      <c r="B760" s="7" t="inlineStr">
        <is>
          <t>1 1/4</t>
        </is>
      </c>
      <c r="C760" s="7" t="inlineStr">
        <is>
          <t>x</t>
        </is>
      </c>
      <c r="D760" s="7" t="inlineStr">
        <is>
          <t>PEX-B</t>
        </is>
      </c>
      <c r="E760" s="7" t="n">
        <v>1</v>
      </c>
      <c r="F760" s="7" t="n">
        <v>3</v>
      </c>
      <c r="G760" s="8" t="n"/>
      <c r="H760" s="27" t="n"/>
      <c r="I760" s="27" t="n"/>
      <c r="J760" s="8" t="n"/>
      <c r="K760" s="8" t="n"/>
      <c r="L760" s="10" t="n"/>
      <c r="M760" s="8" t="n"/>
      <c r="N760" s="11">
        <f>IF(OR(J760="",H760="",I760=""),"",J760/((I760-H760)*1440))</f>
        <v/>
      </c>
      <c r="O760" s="7" t="n"/>
      <c r="P760" s="7" t="n"/>
      <c r="Q760" s="7" t="n"/>
      <c r="R760" s="12" t="n"/>
      <c r="S760" s="13">
        <f>IF(OR(R760="",J760=""),"",R760/J760-1)</f>
        <v/>
      </c>
      <c r="T760" s="14">
        <f>IF(OR(L760="",R760="",J760=""),"",SQRT(4+(L760^2-4)*(R760/J760)^2))</f>
        <v/>
      </c>
      <c r="U760" s="7" t="n"/>
      <c r="V760" s="7" t="n"/>
    </row>
    <row r="761">
      <c r="A761" s="7" t="inlineStr">
        <is>
          <t>x-11/4-3-i1</t>
        </is>
      </c>
      <c r="B761" s="7" t="inlineStr">
        <is>
          <t>1 1/4</t>
        </is>
      </c>
      <c r="C761" s="7" t="inlineStr">
        <is>
          <t>x</t>
        </is>
      </c>
      <c r="D761" s="7" t="inlineStr">
        <is>
          <t>PEX-B</t>
        </is>
      </c>
      <c r="E761" s="7" t="n">
        <v>3</v>
      </c>
      <c r="F761" s="7" t="n">
        <v>1</v>
      </c>
      <c r="G761" s="8" t="n"/>
      <c r="H761" s="27" t="n"/>
      <c r="I761" s="27" t="n"/>
      <c r="J761" s="8" t="n"/>
      <c r="K761" s="8" t="n"/>
      <c r="L761" s="10" t="n"/>
      <c r="M761" s="8" t="n"/>
      <c r="N761" s="11">
        <f>IF(OR(J761="",H761="",I761=""),"",J761/((I761-H761)*1440))</f>
        <v/>
      </c>
      <c r="O761" s="7" t="n"/>
      <c r="P761" s="7" t="n"/>
      <c r="Q761" s="7" t="n"/>
      <c r="R761" s="12" t="n"/>
      <c r="S761" s="13">
        <f>IF(OR(R761="",J761=""),"",R761/J761-1)</f>
        <v/>
      </c>
      <c r="T761" s="14">
        <f>IF(OR(L761="",R761="",J761=""),"",SQRT(4+(L761^2-4)*(R761/J761)^2))</f>
        <v/>
      </c>
      <c r="U761" s="7" t="n"/>
      <c r="V761" s="7" t="n"/>
    </row>
    <row r="762">
      <c r="A762" s="7" t="inlineStr">
        <is>
          <t>x-11/4-3-i2</t>
        </is>
      </c>
      <c r="B762" s="7" t="inlineStr">
        <is>
          <t>1 1/4</t>
        </is>
      </c>
      <c r="C762" s="7" t="inlineStr">
        <is>
          <t>x</t>
        </is>
      </c>
      <c r="D762" s="7" t="inlineStr">
        <is>
          <t>PEX-B</t>
        </is>
      </c>
      <c r="E762" s="7" t="n">
        <v>3</v>
      </c>
      <c r="F762" s="7" t="n">
        <v>2</v>
      </c>
      <c r="G762" s="8" t="n"/>
      <c r="H762" s="27" t="n"/>
      <c r="I762" s="27" t="n"/>
      <c r="J762" s="8" t="n"/>
      <c r="K762" s="8" t="n"/>
      <c r="L762" s="10" t="n"/>
      <c r="M762" s="8" t="n"/>
      <c r="N762" s="11">
        <f>IF(OR(J762="",H762="",I762=""),"",J762/((I762-H762)*1440))</f>
        <v/>
      </c>
      <c r="O762" s="7" t="n"/>
      <c r="P762" s="7" t="n"/>
      <c r="Q762" s="7" t="n"/>
      <c r="R762" s="12" t="n"/>
      <c r="S762" s="13">
        <f>IF(OR(R762="",J762=""),"",R762/J762-1)</f>
        <v/>
      </c>
      <c r="T762" s="14">
        <f>IF(OR(L762="",R762="",J762=""),"",SQRT(4+(L762^2-4)*(R762/J762)^2))</f>
        <v/>
      </c>
      <c r="U762" s="7" t="n"/>
      <c r="V762" s="7" t="n"/>
    </row>
    <row r="763">
      <c r="A763" s="7" t="inlineStr">
        <is>
          <t>x-11/4-3-i3</t>
        </is>
      </c>
      <c r="B763" s="7" t="inlineStr">
        <is>
          <t>1 1/4</t>
        </is>
      </c>
      <c r="C763" s="7" t="inlineStr">
        <is>
          <t>x</t>
        </is>
      </c>
      <c r="D763" s="7" t="inlineStr">
        <is>
          <t>PEX-B</t>
        </is>
      </c>
      <c r="E763" s="7" t="n">
        <v>3</v>
      </c>
      <c r="F763" s="7" t="n">
        <v>3</v>
      </c>
      <c r="G763" s="8" t="n"/>
      <c r="H763" s="27" t="n"/>
      <c r="I763" s="27" t="n"/>
      <c r="J763" s="8" t="n"/>
      <c r="K763" s="8" t="n"/>
      <c r="L763" s="10" t="n"/>
      <c r="M763" s="8" t="n"/>
      <c r="N763" s="11">
        <f>IF(OR(J763="",H763="",I763=""),"",J763/((I763-H763)*1440))</f>
        <v/>
      </c>
      <c r="O763" s="7" t="n"/>
      <c r="P763" s="7" t="n"/>
      <c r="Q763" s="7" t="n"/>
      <c r="R763" s="12" t="n"/>
      <c r="S763" s="13">
        <f>IF(OR(R763="",J763=""),"",R763/J763-1)</f>
        <v/>
      </c>
      <c r="T763" s="14">
        <f>IF(OR(L763="",R763="",J763=""),"",SQRT(4+(L763^2-4)*(R763/J763)^2))</f>
        <v/>
      </c>
      <c r="U763" s="7" t="n"/>
      <c r="V763" s="7" t="n"/>
    </row>
    <row r="764">
      <c r="A764" s="7" t="inlineStr">
        <is>
          <t>x-11/4-5-i1</t>
        </is>
      </c>
      <c r="B764" s="7" t="inlineStr">
        <is>
          <t>1 1/4</t>
        </is>
      </c>
      <c r="C764" s="7" t="inlineStr">
        <is>
          <t>x</t>
        </is>
      </c>
      <c r="D764" s="7" t="inlineStr">
        <is>
          <t>PEX-B</t>
        </is>
      </c>
      <c r="E764" s="7" t="n">
        <v>5</v>
      </c>
      <c r="F764" s="7" t="n">
        <v>1</v>
      </c>
      <c r="G764" s="8" t="n"/>
      <c r="H764" s="27" t="n"/>
      <c r="I764" s="27" t="n"/>
      <c r="J764" s="8" t="n"/>
      <c r="K764" s="8" t="n"/>
      <c r="L764" s="10" t="n"/>
      <c r="M764" s="8" t="n"/>
      <c r="N764" s="11">
        <f>IF(OR(J764="",H764="",I764=""),"",J764/((I764-H764)*1440))</f>
        <v/>
      </c>
      <c r="O764" s="7" t="n"/>
      <c r="P764" s="7" t="n"/>
      <c r="Q764" s="7" t="n"/>
      <c r="R764" s="12" t="n"/>
      <c r="S764" s="13">
        <f>IF(OR(R764="",J764=""),"",R764/J764-1)</f>
        <v/>
      </c>
      <c r="T764" s="14">
        <f>IF(OR(L764="",R764="",J764=""),"",SQRT(4+(L764^2-4)*(R764/J764)^2))</f>
        <v/>
      </c>
      <c r="U764" s="7" t="n"/>
      <c r="V764" s="7" t="n"/>
    </row>
    <row r="765">
      <c r="A765" s="7" t="inlineStr">
        <is>
          <t>x-11/4-5-i2</t>
        </is>
      </c>
      <c r="B765" s="7" t="inlineStr">
        <is>
          <t>1 1/4</t>
        </is>
      </c>
      <c r="C765" s="7" t="inlineStr">
        <is>
          <t>x</t>
        </is>
      </c>
      <c r="D765" s="7" t="inlineStr">
        <is>
          <t>PEX-B</t>
        </is>
      </c>
      <c r="E765" s="7" t="n">
        <v>5</v>
      </c>
      <c r="F765" s="7" t="n">
        <v>2</v>
      </c>
      <c r="G765" s="8" t="n"/>
      <c r="H765" s="27" t="n"/>
      <c r="I765" s="27" t="n"/>
      <c r="J765" s="8" t="n"/>
      <c r="K765" s="8" t="n"/>
      <c r="L765" s="10" t="n"/>
      <c r="M765" s="8" t="n"/>
      <c r="N765" s="11">
        <f>IF(OR(J765="",H765="",I765=""),"",J765/((I765-H765)*1440))</f>
        <v/>
      </c>
      <c r="O765" s="7" t="n"/>
      <c r="P765" s="7" t="n"/>
      <c r="Q765" s="7" t="n"/>
      <c r="R765" s="12" t="n"/>
      <c r="S765" s="13">
        <f>IF(OR(R765="",J765=""),"",R765/J765-1)</f>
        <v/>
      </c>
      <c r="T765" s="14">
        <f>IF(OR(L765="",R765="",J765=""),"",SQRT(4+(L765^2-4)*(R765/J765)^2))</f>
        <v/>
      </c>
      <c r="U765" s="7" t="n"/>
      <c r="V765" s="7" t="n"/>
    </row>
    <row r="766">
      <c r="A766" s="7" t="inlineStr">
        <is>
          <t>x-11/4-5-i3</t>
        </is>
      </c>
      <c r="B766" s="7" t="inlineStr">
        <is>
          <t>1 1/4</t>
        </is>
      </c>
      <c r="C766" s="7" t="inlineStr">
        <is>
          <t>x</t>
        </is>
      </c>
      <c r="D766" s="7" t="inlineStr">
        <is>
          <t>PEX-B</t>
        </is>
      </c>
      <c r="E766" s="7" t="n">
        <v>5</v>
      </c>
      <c r="F766" s="7" t="n">
        <v>3</v>
      </c>
      <c r="G766" s="8" t="n"/>
      <c r="H766" s="27" t="n"/>
      <c r="I766" s="27" t="n"/>
      <c r="J766" s="8" t="n"/>
      <c r="K766" s="8" t="n"/>
      <c r="L766" s="10" t="n"/>
      <c r="M766" s="8" t="n"/>
      <c r="N766" s="11">
        <f>IF(OR(J766="",H766="",I766=""),"",J766/((I766-H766)*1440))</f>
        <v/>
      </c>
      <c r="O766" s="7" t="n"/>
      <c r="P766" s="7" t="n"/>
      <c r="Q766" s="7" t="n"/>
      <c r="R766" s="12" t="n"/>
      <c r="S766" s="13">
        <f>IF(OR(R766="",J766=""),"",R766/J766-1)</f>
        <v/>
      </c>
      <c r="T766" s="14">
        <f>IF(OR(L766="",R766="",J766=""),"",SQRT(4+(L766^2-4)*(R766/J766)^2))</f>
        <v/>
      </c>
      <c r="U766" s="7" t="n"/>
      <c r="V766" s="7" t="n"/>
    </row>
    <row r="767">
      <c r="A767" s="7" t="inlineStr">
        <is>
          <t>x-11/4-10-i1</t>
        </is>
      </c>
      <c r="B767" s="7" t="inlineStr">
        <is>
          <t>1 1/4</t>
        </is>
      </c>
      <c r="C767" s="7" t="inlineStr">
        <is>
          <t>x</t>
        </is>
      </c>
      <c r="D767" s="7" t="inlineStr">
        <is>
          <t>PEX-B</t>
        </is>
      </c>
      <c r="E767" s="7" t="n">
        <v>10</v>
      </c>
      <c r="F767" s="7" t="n">
        <v>1</v>
      </c>
      <c r="G767" s="8" t="n"/>
      <c r="H767" s="27" t="n"/>
      <c r="I767" s="27" t="n"/>
      <c r="J767" s="8" t="n"/>
      <c r="K767" s="8" t="n"/>
      <c r="L767" s="10" t="n"/>
      <c r="M767" s="8" t="n"/>
      <c r="N767" s="11">
        <f>IF(OR(J767="",H767="",I767=""),"",J767/((I767-H767)*1440))</f>
        <v/>
      </c>
      <c r="O767" s="7" t="n"/>
      <c r="P767" s="7" t="n"/>
      <c r="Q767" s="7" t="n"/>
      <c r="R767" s="12" t="n"/>
      <c r="S767" s="13">
        <f>IF(OR(R767="",J767=""),"",R767/J767-1)</f>
        <v/>
      </c>
      <c r="T767" s="14">
        <f>IF(OR(L767="",R767="",J767=""),"",SQRT(4+(L767^2-4)*(R767/J767)^2))</f>
        <v/>
      </c>
      <c r="U767" s="7" t="n"/>
      <c r="V767" s="7" t="n"/>
    </row>
    <row r="768">
      <c r="A768" s="7" t="inlineStr">
        <is>
          <t>x-11/4-10-i2</t>
        </is>
      </c>
      <c r="B768" s="7" t="inlineStr">
        <is>
          <t>1 1/4</t>
        </is>
      </c>
      <c r="C768" s="7" t="inlineStr">
        <is>
          <t>x</t>
        </is>
      </c>
      <c r="D768" s="7" t="inlineStr">
        <is>
          <t>PEX-B</t>
        </is>
      </c>
      <c r="E768" s="7" t="n">
        <v>10</v>
      </c>
      <c r="F768" s="7" t="n">
        <v>2</v>
      </c>
      <c r="G768" s="8" t="n"/>
      <c r="H768" s="27" t="n"/>
      <c r="I768" s="27" t="n"/>
      <c r="J768" s="8" t="n"/>
      <c r="K768" s="8" t="n"/>
      <c r="L768" s="10" t="n"/>
      <c r="M768" s="8" t="n"/>
      <c r="N768" s="11">
        <f>IF(OR(J768="",H768="",I768=""),"",J768/((I768-H768)*1440))</f>
        <v/>
      </c>
      <c r="O768" s="7" t="n"/>
      <c r="P768" s="7" t="n"/>
      <c r="Q768" s="7" t="n"/>
      <c r="R768" s="12" t="n"/>
      <c r="S768" s="13">
        <f>IF(OR(R768="",J768=""),"",R768/J768-1)</f>
        <v/>
      </c>
      <c r="T768" s="14">
        <f>IF(OR(L768="",R768="",J768=""),"",SQRT(4+(L768^2-4)*(R768/J768)^2))</f>
        <v/>
      </c>
      <c r="U768" s="7" t="n"/>
      <c r="V768" s="7" t="n"/>
    </row>
    <row r="769">
      <c r="A769" s="7" t="inlineStr">
        <is>
          <t>x-11/4-10-i3</t>
        </is>
      </c>
      <c r="B769" s="7" t="inlineStr">
        <is>
          <t>1 1/4</t>
        </is>
      </c>
      <c r="C769" s="7" t="inlineStr">
        <is>
          <t>x</t>
        </is>
      </c>
      <c r="D769" s="7" t="inlineStr">
        <is>
          <t>PEX-B</t>
        </is>
      </c>
      <c r="E769" s="7" t="n">
        <v>10</v>
      </c>
      <c r="F769" s="7" t="n">
        <v>3</v>
      </c>
      <c r="G769" s="8" t="n"/>
      <c r="H769" s="27" t="n"/>
      <c r="I769" s="27" t="n"/>
      <c r="J769" s="8" t="n"/>
      <c r="K769" s="8" t="n"/>
      <c r="L769" s="10" t="n"/>
      <c r="M769" s="8" t="n"/>
      <c r="N769" s="11">
        <f>IF(OR(J769="",H769="",I769=""),"",J769/((I769-H769)*1440))</f>
        <v/>
      </c>
      <c r="O769" s="7" t="n"/>
      <c r="P769" s="7" t="n"/>
      <c r="Q769" s="7" t="n"/>
      <c r="R769" s="12" t="n"/>
      <c r="S769" s="13">
        <f>IF(OR(R769="",J769=""),"",R769/J769-1)</f>
        <v/>
      </c>
      <c r="T769" s="14">
        <f>IF(OR(L769="",R769="",J769=""),"",SQRT(4+(L769^2-4)*(R769/J769)^2))</f>
        <v/>
      </c>
      <c r="U769" s="7" t="n"/>
      <c r="V769" s="7" t="n"/>
    </row>
    <row r="770">
      <c r="A770" s="7" t="inlineStr">
        <is>
          <t>B-11/4-0.5-i1</t>
        </is>
      </c>
      <c r="B770" s="7" t="inlineStr">
        <is>
          <t>1 1/4</t>
        </is>
      </c>
      <c r="C770" s="7" t="inlineStr">
        <is>
          <t>B</t>
        </is>
      </c>
      <c r="D770" s="7" t="inlineStr">
        <is>
          <t>B (.815)</t>
        </is>
      </c>
      <c r="E770" s="7" t="n">
        <v>0.5</v>
      </c>
      <c r="F770" s="7" t="n">
        <v>1</v>
      </c>
      <c r="G770" s="8" t="n"/>
      <c r="H770" s="27" t="n"/>
      <c r="I770" s="27" t="n"/>
      <c r="J770" s="8" t="n"/>
      <c r="K770" s="8" t="n"/>
      <c r="L770" s="10" t="n"/>
      <c r="M770" s="8" t="n"/>
      <c r="N770" s="11">
        <f>IF(OR(J770="",H770="",I770=""),"",J770/((I770-H770)*1440))</f>
        <v/>
      </c>
      <c r="O770" s="7" t="n"/>
      <c r="P770" s="7" t="n"/>
      <c r="Q770" s="7" t="n"/>
      <c r="R770" s="12" t="n"/>
      <c r="S770" s="13">
        <f>IF(OR(R770="",J770=""),"",R770/J770-1)</f>
        <v/>
      </c>
      <c r="T770" s="14">
        <f>IF(OR(L770="",R770="",J770=""),"",SQRT(4+(L770^2-4)*(R770/J770)^2))</f>
        <v/>
      </c>
      <c r="U770" s="7" t="n"/>
      <c r="V770" s="7" t="n"/>
    </row>
    <row r="771">
      <c r="A771" s="7" t="inlineStr">
        <is>
          <t>B-11/4-0.5-i2</t>
        </is>
      </c>
      <c r="B771" s="7" t="inlineStr">
        <is>
          <t>1 1/4</t>
        </is>
      </c>
      <c r="C771" s="7" t="inlineStr">
        <is>
          <t>B</t>
        </is>
      </c>
      <c r="D771" s="7" t="inlineStr">
        <is>
          <t>B (.815)</t>
        </is>
      </c>
      <c r="E771" s="7" t="n">
        <v>0.5</v>
      </c>
      <c r="F771" s="7" t="n">
        <v>2</v>
      </c>
      <c r="G771" s="8" t="n"/>
      <c r="H771" s="27" t="n"/>
      <c r="I771" s="27" t="n"/>
      <c r="J771" s="8" t="n"/>
      <c r="K771" s="8" t="n"/>
      <c r="L771" s="10" t="n"/>
      <c r="M771" s="8" t="n"/>
      <c r="N771" s="11">
        <f>IF(OR(J771="",H771="",I771=""),"",J771/((I771-H771)*1440))</f>
        <v/>
      </c>
      <c r="O771" s="7" t="n"/>
      <c r="P771" s="7" t="n"/>
      <c r="Q771" s="7" t="n"/>
      <c r="R771" s="12" t="n"/>
      <c r="S771" s="13">
        <f>IF(OR(R771="",J771=""),"",R771/J771-1)</f>
        <v/>
      </c>
      <c r="T771" s="14">
        <f>IF(OR(L771="",R771="",J771=""),"",SQRT(4+(L771^2-4)*(R771/J771)^2))</f>
        <v/>
      </c>
      <c r="U771" s="7" t="n"/>
      <c r="V771" s="7" t="n"/>
    </row>
    <row r="772">
      <c r="A772" s="7" t="inlineStr">
        <is>
          <t>B-11/4-0.5-i3</t>
        </is>
      </c>
      <c r="B772" s="7" t="inlineStr">
        <is>
          <t>1 1/4</t>
        </is>
      </c>
      <c r="C772" s="7" t="inlineStr">
        <is>
          <t>B</t>
        </is>
      </c>
      <c r="D772" s="7" t="inlineStr">
        <is>
          <t>B (.815)</t>
        </is>
      </c>
      <c r="E772" s="7" t="n">
        <v>0.5</v>
      </c>
      <c r="F772" s="7" t="n">
        <v>3</v>
      </c>
      <c r="G772" s="8" t="n"/>
      <c r="H772" s="27" t="n"/>
      <c r="I772" s="27" t="n"/>
      <c r="J772" s="8" t="n"/>
      <c r="K772" s="8" t="n"/>
      <c r="L772" s="10" t="n"/>
      <c r="M772" s="8" t="n"/>
      <c r="N772" s="11">
        <f>IF(OR(J772="",H772="",I772=""),"",J772/((I772-H772)*1440))</f>
        <v/>
      </c>
      <c r="O772" s="7" t="n"/>
      <c r="P772" s="7" t="n"/>
      <c r="Q772" s="7" t="n"/>
      <c r="R772" s="12" t="n"/>
      <c r="S772" s="13">
        <f>IF(OR(R772="",J772=""),"",R772/J772-1)</f>
        <v/>
      </c>
      <c r="T772" s="14">
        <f>IF(OR(L772="",R772="",J772=""),"",SQRT(4+(L772^2-4)*(R772/J772)^2))</f>
        <v/>
      </c>
      <c r="U772" s="7" t="n"/>
      <c r="V772" s="7" t="n"/>
    </row>
    <row r="773">
      <c r="A773" s="7" t="inlineStr">
        <is>
          <t>B-11/4-1-i1</t>
        </is>
      </c>
      <c r="B773" s="7" t="inlineStr">
        <is>
          <t>1 1/4</t>
        </is>
      </c>
      <c r="C773" s="7" t="inlineStr">
        <is>
          <t>B</t>
        </is>
      </c>
      <c r="D773" s="7" t="inlineStr">
        <is>
          <t>B (.815)</t>
        </is>
      </c>
      <c r="E773" s="7" t="n">
        <v>1</v>
      </c>
      <c r="F773" s="7" t="n">
        <v>1</v>
      </c>
      <c r="G773" s="8" t="n"/>
      <c r="H773" s="27" t="n"/>
      <c r="I773" s="27" t="n"/>
      <c r="J773" s="8" t="n"/>
      <c r="K773" s="8" t="n"/>
      <c r="L773" s="10" t="n"/>
      <c r="M773" s="8" t="n"/>
      <c r="N773" s="11">
        <f>IF(OR(J773="",H773="",I773=""),"",J773/((I773-H773)*1440))</f>
        <v/>
      </c>
      <c r="O773" s="7" t="n"/>
      <c r="P773" s="7" t="n"/>
      <c r="Q773" s="7" t="n"/>
      <c r="R773" s="12" t="n"/>
      <c r="S773" s="13">
        <f>IF(OR(R773="",J773=""),"",R773/J773-1)</f>
        <v/>
      </c>
      <c r="T773" s="14">
        <f>IF(OR(L773="",R773="",J773=""),"",SQRT(4+(L773^2-4)*(R773/J773)^2))</f>
        <v/>
      </c>
      <c r="U773" s="7" t="n"/>
      <c r="V773" s="7" t="n"/>
    </row>
    <row r="774">
      <c r="A774" s="7" t="inlineStr">
        <is>
          <t>B-11/4-1-i2</t>
        </is>
      </c>
      <c r="B774" s="7" t="inlineStr">
        <is>
          <t>1 1/4</t>
        </is>
      </c>
      <c r="C774" s="7" t="inlineStr">
        <is>
          <t>B</t>
        </is>
      </c>
      <c r="D774" s="7" t="inlineStr">
        <is>
          <t>B (.815)</t>
        </is>
      </c>
      <c r="E774" s="7" t="n">
        <v>1</v>
      </c>
      <c r="F774" s="7" t="n">
        <v>2</v>
      </c>
      <c r="G774" s="8" t="n"/>
      <c r="H774" s="27" t="n"/>
      <c r="I774" s="27" t="n"/>
      <c r="J774" s="8" t="n"/>
      <c r="K774" s="8" t="n"/>
      <c r="L774" s="10" t="n"/>
      <c r="M774" s="8" t="n"/>
      <c r="N774" s="11">
        <f>IF(OR(J774="",H774="",I774=""),"",J774/((I774-H774)*1440))</f>
        <v/>
      </c>
      <c r="O774" s="7" t="n"/>
      <c r="P774" s="7" t="n"/>
      <c r="Q774" s="7" t="n"/>
      <c r="R774" s="12" t="n"/>
      <c r="S774" s="13">
        <f>IF(OR(R774="",J774=""),"",R774/J774-1)</f>
        <v/>
      </c>
      <c r="T774" s="14">
        <f>IF(OR(L774="",R774="",J774=""),"",SQRT(4+(L774^2-4)*(R774/J774)^2))</f>
        <v/>
      </c>
      <c r="U774" s="7" t="n"/>
      <c r="V774" s="7" t="n"/>
    </row>
    <row r="775">
      <c r="A775" s="7" t="inlineStr">
        <is>
          <t>B-11/4-1-i3</t>
        </is>
      </c>
      <c r="B775" s="7" t="inlineStr">
        <is>
          <t>1 1/4</t>
        </is>
      </c>
      <c r="C775" s="7" t="inlineStr">
        <is>
          <t>B</t>
        </is>
      </c>
      <c r="D775" s="7" t="inlineStr">
        <is>
          <t>B (.815)</t>
        </is>
      </c>
      <c r="E775" s="7" t="n">
        <v>1</v>
      </c>
      <c r="F775" s="7" t="n">
        <v>3</v>
      </c>
      <c r="G775" s="8" t="n"/>
      <c r="H775" s="27" t="n"/>
      <c r="I775" s="27" t="n"/>
      <c r="J775" s="8" t="n"/>
      <c r="K775" s="8" t="n"/>
      <c r="L775" s="10" t="n"/>
      <c r="M775" s="8" t="n"/>
      <c r="N775" s="11">
        <f>IF(OR(J775="",H775="",I775=""),"",J775/((I775-H775)*1440))</f>
        <v/>
      </c>
      <c r="O775" s="7" t="n"/>
      <c r="P775" s="7" t="n"/>
      <c r="Q775" s="7" t="n"/>
      <c r="R775" s="12" t="n"/>
      <c r="S775" s="13">
        <f>IF(OR(R775="",J775=""),"",R775/J775-1)</f>
        <v/>
      </c>
      <c r="T775" s="14">
        <f>IF(OR(L775="",R775="",J775=""),"",SQRT(4+(L775^2-4)*(R775/J775)^2))</f>
        <v/>
      </c>
      <c r="U775" s="7" t="n"/>
      <c r="V775" s="7" t="n"/>
    </row>
    <row r="776">
      <c r="A776" s="7" t="inlineStr">
        <is>
          <t>B-11/4-3-i1</t>
        </is>
      </c>
      <c r="B776" s="7" t="inlineStr">
        <is>
          <t>1 1/4</t>
        </is>
      </c>
      <c r="C776" s="7" t="inlineStr">
        <is>
          <t>B</t>
        </is>
      </c>
      <c r="D776" s="7" t="inlineStr">
        <is>
          <t>B (.815)</t>
        </is>
      </c>
      <c r="E776" s="7" t="n">
        <v>3</v>
      </c>
      <c r="F776" s="7" t="n">
        <v>1</v>
      </c>
      <c r="G776" s="8" t="n"/>
      <c r="H776" s="27" t="n"/>
      <c r="I776" s="27" t="n"/>
      <c r="J776" s="8" t="n"/>
      <c r="K776" s="8" t="n"/>
      <c r="L776" s="10" t="n"/>
      <c r="M776" s="8" t="n"/>
      <c r="N776" s="11">
        <f>IF(OR(J776="",H776="",I776=""),"",J776/((I776-H776)*1440))</f>
        <v/>
      </c>
      <c r="O776" s="7" t="n"/>
      <c r="P776" s="7" t="n"/>
      <c r="Q776" s="7" t="n"/>
      <c r="R776" s="12" t="n"/>
      <c r="S776" s="13">
        <f>IF(OR(R776="",J776=""),"",R776/J776-1)</f>
        <v/>
      </c>
      <c r="T776" s="14">
        <f>IF(OR(L776="",R776="",J776=""),"",SQRT(4+(L776^2-4)*(R776/J776)^2))</f>
        <v/>
      </c>
      <c r="U776" s="7" t="n"/>
      <c r="V776" s="7" t="n"/>
    </row>
    <row r="777">
      <c r="A777" s="7" t="inlineStr">
        <is>
          <t>B-11/4-3-i2</t>
        </is>
      </c>
      <c r="B777" s="7" t="inlineStr">
        <is>
          <t>1 1/4</t>
        </is>
      </c>
      <c r="C777" s="7" t="inlineStr">
        <is>
          <t>B</t>
        </is>
      </c>
      <c r="D777" s="7" t="inlineStr">
        <is>
          <t>B (.815)</t>
        </is>
      </c>
      <c r="E777" s="7" t="n">
        <v>3</v>
      </c>
      <c r="F777" s="7" t="n">
        <v>2</v>
      </c>
      <c r="G777" s="8" t="n"/>
      <c r="H777" s="27" t="n"/>
      <c r="I777" s="27" t="n"/>
      <c r="J777" s="8" t="n"/>
      <c r="K777" s="8" t="n"/>
      <c r="L777" s="10" t="n"/>
      <c r="M777" s="8" t="n"/>
      <c r="N777" s="11">
        <f>IF(OR(J777="",H777="",I777=""),"",J777/((I777-H777)*1440))</f>
        <v/>
      </c>
      <c r="O777" s="7" t="n"/>
      <c r="P777" s="7" t="n"/>
      <c r="Q777" s="7" t="n"/>
      <c r="R777" s="12" t="n"/>
      <c r="S777" s="13">
        <f>IF(OR(R777="",J777=""),"",R777/J777-1)</f>
        <v/>
      </c>
      <c r="T777" s="14">
        <f>IF(OR(L777="",R777="",J777=""),"",SQRT(4+(L777^2-4)*(R777/J777)^2))</f>
        <v/>
      </c>
      <c r="U777" s="7" t="n"/>
      <c r="V777" s="7" t="n"/>
    </row>
    <row r="778">
      <c r="A778" s="7" t="inlineStr">
        <is>
          <t>B-11/4-3-i3</t>
        </is>
      </c>
      <c r="B778" s="7" t="inlineStr">
        <is>
          <t>1 1/4</t>
        </is>
      </c>
      <c r="C778" s="7" t="inlineStr">
        <is>
          <t>B</t>
        </is>
      </c>
      <c r="D778" s="7" t="inlineStr">
        <is>
          <t>B (.815)</t>
        </is>
      </c>
      <c r="E778" s="7" t="n">
        <v>3</v>
      </c>
      <c r="F778" s="7" t="n">
        <v>3</v>
      </c>
      <c r="G778" s="8" t="n"/>
      <c r="H778" s="27" t="n"/>
      <c r="I778" s="27" t="n"/>
      <c r="J778" s="8" t="n"/>
      <c r="K778" s="8" t="n"/>
      <c r="L778" s="10" t="n"/>
      <c r="M778" s="8" t="n"/>
      <c r="N778" s="11">
        <f>IF(OR(J778="",H778="",I778=""),"",J778/((I778-H778)*1440))</f>
        <v/>
      </c>
      <c r="O778" s="7" t="n"/>
      <c r="P778" s="7" t="n"/>
      <c r="Q778" s="7" t="n"/>
      <c r="R778" s="12" t="n"/>
      <c r="S778" s="13">
        <f>IF(OR(R778="",J778=""),"",R778/J778-1)</f>
        <v/>
      </c>
      <c r="T778" s="14">
        <f>IF(OR(L778="",R778="",J778=""),"",SQRT(4+(L778^2-4)*(R778/J778)^2))</f>
        <v/>
      </c>
      <c r="U778" s="7" t="n"/>
      <c r="V778" s="7" t="n"/>
    </row>
    <row r="779">
      <c r="A779" s="7" t="inlineStr">
        <is>
          <t>B-11/4-5-i1</t>
        </is>
      </c>
      <c r="B779" s="7" t="inlineStr">
        <is>
          <t>1 1/4</t>
        </is>
      </c>
      <c r="C779" s="7" t="inlineStr">
        <is>
          <t>B</t>
        </is>
      </c>
      <c r="D779" s="7" t="inlineStr">
        <is>
          <t>B (.815)</t>
        </is>
      </c>
      <c r="E779" s="7" t="n">
        <v>5</v>
      </c>
      <c r="F779" s="7" t="n">
        <v>1</v>
      </c>
      <c r="G779" s="8" t="n"/>
      <c r="H779" s="27" t="n"/>
      <c r="I779" s="27" t="n"/>
      <c r="J779" s="8" t="n"/>
      <c r="K779" s="8" t="n"/>
      <c r="L779" s="10" t="n"/>
      <c r="M779" s="8" t="n"/>
      <c r="N779" s="11">
        <f>IF(OR(J779="",H779="",I779=""),"",J779/((I779-H779)*1440))</f>
        <v/>
      </c>
      <c r="O779" s="7" t="n"/>
      <c r="P779" s="7" t="n"/>
      <c r="Q779" s="7" t="n"/>
      <c r="R779" s="12" t="n"/>
      <c r="S779" s="13">
        <f>IF(OR(R779="",J779=""),"",R779/J779-1)</f>
        <v/>
      </c>
      <c r="T779" s="14">
        <f>IF(OR(L779="",R779="",J779=""),"",SQRT(4+(L779^2-4)*(R779/J779)^2))</f>
        <v/>
      </c>
      <c r="U779" s="7" t="n"/>
      <c r="V779" s="7" t="n"/>
    </row>
    <row r="780">
      <c r="A780" s="7" t="inlineStr">
        <is>
          <t>B-11/4-5-i2</t>
        </is>
      </c>
      <c r="B780" s="7" t="inlineStr">
        <is>
          <t>1 1/4</t>
        </is>
      </c>
      <c r="C780" s="7" t="inlineStr">
        <is>
          <t>B</t>
        </is>
      </c>
      <c r="D780" s="7" t="inlineStr">
        <is>
          <t>B (.815)</t>
        </is>
      </c>
      <c r="E780" s="7" t="n">
        <v>5</v>
      </c>
      <c r="F780" s="7" t="n">
        <v>2</v>
      </c>
      <c r="G780" s="8" t="n"/>
      <c r="H780" s="27" t="n"/>
      <c r="I780" s="27" t="n"/>
      <c r="J780" s="8" t="n"/>
      <c r="K780" s="8" t="n"/>
      <c r="L780" s="10" t="n"/>
      <c r="M780" s="8" t="n"/>
      <c r="N780" s="11">
        <f>IF(OR(J780="",H780="",I780=""),"",J780/((I780-H780)*1440))</f>
        <v/>
      </c>
      <c r="O780" s="7" t="n"/>
      <c r="P780" s="7" t="n"/>
      <c r="Q780" s="7" t="n"/>
      <c r="R780" s="12" t="n"/>
      <c r="S780" s="13">
        <f>IF(OR(R780="",J780=""),"",R780/J780-1)</f>
        <v/>
      </c>
      <c r="T780" s="14">
        <f>IF(OR(L780="",R780="",J780=""),"",SQRT(4+(L780^2-4)*(R780/J780)^2))</f>
        <v/>
      </c>
      <c r="U780" s="7" t="n"/>
      <c r="V780" s="7" t="n"/>
    </row>
    <row r="781">
      <c r="A781" s="7" t="inlineStr">
        <is>
          <t>B-11/4-5-i3</t>
        </is>
      </c>
      <c r="B781" s="7" t="inlineStr">
        <is>
          <t>1 1/4</t>
        </is>
      </c>
      <c r="C781" s="7" t="inlineStr">
        <is>
          <t>B</t>
        </is>
      </c>
      <c r="D781" s="7" t="inlineStr">
        <is>
          <t>B (.815)</t>
        </is>
      </c>
      <c r="E781" s="7" t="n">
        <v>5</v>
      </c>
      <c r="F781" s="7" t="n">
        <v>3</v>
      </c>
      <c r="G781" s="8" t="n"/>
      <c r="H781" s="27" t="n"/>
      <c r="I781" s="27" t="n"/>
      <c r="J781" s="8" t="n"/>
      <c r="K781" s="8" t="n"/>
      <c r="L781" s="10" t="n"/>
      <c r="M781" s="8" t="n"/>
      <c r="N781" s="11">
        <f>IF(OR(J781="",H781="",I781=""),"",J781/((I781-H781)*1440))</f>
        <v/>
      </c>
      <c r="O781" s="7" t="n"/>
      <c r="P781" s="7" t="n"/>
      <c r="Q781" s="7" t="n"/>
      <c r="R781" s="12" t="n"/>
      <c r="S781" s="13">
        <f>IF(OR(R781="",J781=""),"",R781/J781-1)</f>
        <v/>
      </c>
      <c r="T781" s="14">
        <f>IF(OR(L781="",R781="",J781=""),"",SQRT(4+(L781^2-4)*(R781/J781)^2))</f>
        <v/>
      </c>
      <c r="U781" s="7" t="n"/>
      <c r="V781" s="7" t="n"/>
    </row>
    <row r="782">
      <c r="A782" s="7" t="inlineStr">
        <is>
          <t>B-11/4-10-i1</t>
        </is>
      </c>
      <c r="B782" s="7" t="inlineStr">
        <is>
          <t>1 1/4</t>
        </is>
      </c>
      <c r="C782" s="7" t="inlineStr">
        <is>
          <t>B</t>
        </is>
      </c>
      <c r="D782" s="7" t="inlineStr">
        <is>
          <t>B (.815)</t>
        </is>
      </c>
      <c r="E782" s="7" t="n">
        <v>10</v>
      </c>
      <c r="F782" s="7" t="n">
        <v>1</v>
      </c>
      <c r="G782" s="8" t="n"/>
      <c r="H782" s="27" t="n"/>
      <c r="I782" s="27" t="n"/>
      <c r="J782" s="8" t="n"/>
      <c r="K782" s="8" t="n"/>
      <c r="L782" s="10" t="n"/>
      <c r="M782" s="8" t="n"/>
      <c r="N782" s="11">
        <f>IF(OR(J782="",H782="",I782=""),"",J782/((I782-H782)*1440))</f>
        <v/>
      </c>
      <c r="O782" s="7" t="n"/>
      <c r="P782" s="7" t="n"/>
      <c r="Q782" s="7" t="n"/>
      <c r="R782" s="12" t="n"/>
      <c r="S782" s="13">
        <f>IF(OR(R782="",J782=""),"",R782/J782-1)</f>
        <v/>
      </c>
      <c r="T782" s="14">
        <f>IF(OR(L782="",R782="",J782=""),"",SQRT(4+(L782^2-4)*(R782/J782)^2))</f>
        <v/>
      </c>
      <c r="U782" s="7" t="n"/>
      <c r="V782" s="7" t="n"/>
    </row>
    <row r="783">
      <c r="A783" s="7" t="inlineStr">
        <is>
          <t>B-11/4-10-i2</t>
        </is>
      </c>
      <c r="B783" s="7" t="inlineStr">
        <is>
          <t>1 1/4</t>
        </is>
      </c>
      <c r="C783" s="7" t="inlineStr">
        <is>
          <t>B</t>
        </is>
      </c>
      <c r="D783" s="7" t="inlineStr">
        <is>
          <t>B (.815)</t>
        </is>
      </c>
      <c r="E783" s="7" t="n">
        <v>10</v>
      </c>
      <c r="F783" s="7" t="n">
        <v>2</v>
      </c>
      <c r="G783" s="8" t="n"/>
      <c r="H783" s="27" t="n"/>
      <c r="I783" s="27" t="n"/>
      <c r="J783" s="8" t="n"/>
      <c r="K783" s="8" t="n"/>
      <c r="L783" s="10" t="n"/>
      <c r="M783" s="8" t="n"/>
      <c r="N783" s="11">
        <f>IF(OR(J783="",H783="",I783=""),"",J783/((I783-H783)*1440))</f>
        <v/>
      </c>
      <c r="O783" s="7" t="n"/>
      <c r="P783" s="7" t="n"/>
      <c r="Q783" s="7" t="n"/>
      <c r="R783" s="12" t="n"/>
      <c r="S783" s="13">
        <f>IF(OR(R783="",J783=""),"",R783/J783-1)</f>
        <v/>
      </c>
      <c r="T783" s="14">
        <f>IF(OR(L783="",R783="",J783=""),"",SQRT(4+(L783^2-4)*(R783/J783)^2))</f>
        <v/>
      </c>
      <c r="U783" s="7" t="n"/>
      <c r="V783" s="7" t="n"/>
    </row>
    <row r="784">
      <c r="A784" s="7" t="inlineStr">
        <is>
          <t>B-11/4-10-i3</t>
        </is>
      </c>
      <c r="B784" s="7" t="inlineStr">
        <is>
          <t>1 1/4</t>
        </is>
      </c>
      <c r="C784" s="7" t="inlineStr">
        <is>
          <t>B</t>
        </is>
      </c>
      <c r="D784" s="7" t="inlineStr">
        <is>
          <t>B (.815)</t>
        </is>
      </c>
      <c r="E784" s="7" t="n">
        <v>10</v>
      </c>
      <c r="F784" s="7" t="n">
        <v>3</v>
      </c>
      <c r="G784" s="8" t="n"/>
      <c r="H784" s="27" t="n"/>
      <c r="I784" s="27" t="n"/>
      <c r="J784" s="8" t="n"/>
      <c r="K784" s="8" t="n"/>
      <c r="L784" s="10" t="n"/>
      <c r="M784" s="8" t="n"/>
      <c r="N784" s="11">
        <f>IF(OR(J784="",H784="",I784=""),"",J784/((I784-H784)*1440))</f>
        <v/>
      </c>
      <c r="O784" s="7" t="n"/>
      <c r="P784" s="7" t="n"/>
      <c r="Q784" s="7" t="n"/>
      <c r="R784" s="12" t="n"/>
      <c r="S784" s="13">
        <f>IF(OR(R784="",J784=""),"",R784/J784-1)</f>
        <v/>
      </c>
      <c r="T784" s="14">
        <f>IF(OR(L784="",R784="",J784=""),"",SQRT(4+(L784^2-4)*(R784/J784)^2))</f>
        <v/>
      </c>
      <c r="U784" s="7" t="n"/>
      <c r="V784" s="7" t="n"/>
    </row>
    <row r="785">
      <c r="A785" s="7" t="inlineStr">
        <is>
          <t>b-11/4-0.5-i1</t>
        </is>
      </c>
      <c r="B785" s="7" t="inlineStr">
        <is>
          <t>1 1/4</t>
        </is>
      </c>
      <c r="C785" s="7" t="inlineStr">
        <is>
          <t>b</t>
        </is>
      </c>
      <c r="D785" s="7" t="inlineStr">
        <is>
          <t>b (.825)</t>
        </is>
      </c>
      <c r="E785" s="7" t="n">
        <v>0.5</v>
      </c>
      <c r="F785" s="7" t="n">
        <v>1</v>
      </c>
      <c r="G785" s="8" t="n"/>
      <c r="H785" s="27" t="n"/>
      <c r="I785" s="27" t="n"/>
      <c r="J785" s="8" t="n"/>
      <c r="K785" s="8" t="n"/>
      <c r="L785" s="10" t="n"/>
      <c r="M785" s="8" t="n"/>
      <c r="N785" s="11">
        <f>IF(OR(J785="",H785="",I785=""),"",J785/((I785-H785)*1440))</f>
        <v/>
      </c>
      <c r="O785" s="7" t="n"/>
      <c r="P785" s="7" t="n"/>
      <c r="Q785" s="7" t="n"/>
      <c r="R785" s="12" t="n"/>
      <c r="S785" s="13">
        <f>IF(OR(R785="",J785=""),"",R785/J785-1)</f>
        <v/>
      </c>
      <c r="T785" s="14">
        <f>IF(OR(L785="",R785="",J785=""),"",SQRT(4+(L785^2-4)*(R785/J785)^2))</f>
        <v/>
      </c>
      <c r="U785" s="7" t="n"/>
      <c r="V785" s="7" t="n"/>
    </row>
    <row r="786">
      <c r="A786" s="7" t="inlineStr">
        <is>
          <t>b-11/4-0.5-i2</t>
        </is>
      </c>
      <c r="B786" s="7" t="inlineStr">
        <is>
          <t>1 1/4</t>
        </is>
      </c>
      <c r="C786" s="7" t="inlineStr">
        <is>
          <t>b</t>
        </is>
      </c>
      <c r="D786" s="7" t="inlineStr">
        <is>
          <t>b (.825)</t>
        </is>
      </c>
      <c r="E786" s="7" t="n">
        <v>0.5</v>
      </c>
      <c r="F786" s="7" t="n">
        <v>2</v>
      </c>
      <c r="G786" s="8" t="n"/>
      <c r="H786" s="27" t="n"/>
      <c r="I786" s="27" t="n"/>
      <c r="J786" s="8" t="n"/>
      <c r="K786" s="8" t="n"/>
      <c r="L786" s="10" t="n"/>
      <c r="M786" s="8" t="n"/>
      <c r="N786" s="11">
        <f>IF(OR(J786="",H786="",I786=""),"",J786/((I786-H786)*1440))</f>
        <v/>
      </c>
      <c r="O786" s="7" t="n"/>
      <c r="P786" s="7" t="n"/>
      <c r="Q786" s="7" t="n"/>
      <c r="R786" s="12" t="n"/>
      <c r="S786" s="13">
        <f>IF(OR(R786="",J786=""),"",R786/J786-1)</f>
        <v/>
      </c>
      <c r="T786" s="14">
        <f>IF(OR(L786="",R786="",J786=""),"",SQRT(4+(L786^2-4)*(R786/J786)^2))</f>
        <v/>
      </c>
      <c r="U786" s="7" t="n"/>
      <c r="V786" s="7" t="n"/>
    </row>
    <row r="787">
      <c r="A787" s="7" t="inlineStr">
        <is>
          <t>b-11/4-0.5-i3</t>
        </is>
      </c>
      <c r="B787" s="7" t="inlineStr">
        <is>
          <t>1 1/4</t>
        </is>
      </c>
      <c r="C787" s="7" t="inlineStr">
        <is>
          <t>b</t>
        </is>
      </c>
      <c r="D787" s="7" t="inlineStr">
        <is>
          <t>b (.825)</t>
        </is>
      </c>
      <c r="E787" s="7" t="n">
        <v>0.5</v>
      </c>
      <c r="F787" s="7" t="n">
        <v>3</v>
      </c>
      <c r="G787" s="8" t="n"/>
      <c r="H787" s="27" t="n"/>
      <c r="I787" s="27" t="n"/>
      <c r="J787" s="8" t="n"/>
      <c r="K787" s="8" t="n"/>
      <c r="L787" s="10" t="n"/>
      <c r="M787" s="8" t="n"/>
      <c r="N787" s="11">
        <f>IF(OR(J787="",H787="",I787=""),"",J787/((I787-H787)*1440))</f>
        <v/>
      </c>
      <c r="O787" s="7" t="n"/>
      <c r="P787" s="7" t="n"/>
      <c r="Q787" s="7" t="n"/>
      <c r="R787" s="12" t="n"/>
      <c r="S787" s="13">
        <f>IF(OR(R787="",J787=""),"",R787/J787-1)</f>
        <v/>
      </c>
      <c r="T787" s="14">
        <f>IF(OR(L787="",R787="",J787=""),"",SQRT(4+(L787^2-4)*(R787/J787)^2))</f>
        <v/>
      </c>
      <c r="U787" s="7" t="n"/>
      <c r="V787" s="7" t="n"/>
    </row>
    <row r="788">
      <c r="A788" s="7" t="inlineStr">
        <is>
          <t>b-11/4-1-i1</t>
        </is>
      </c>
      <c r="B788" s="7" t="inlineStr">
        <is>
          <t>1 1/4</t>
        </is>
      </c>
      <c r="C788" s="7" t="inlineStr">
        <is>
          <t>b</t>
        </is>
      </c>
      <c r="D788" s="7" t="inlineStr">
        <is>
          <t>b (.825)</t>
        </is>
      </c>
      <c r="E788" s="7" t="n">
        <v>1</v>
      </c>
      <c r="F788" s="7" t="n">
        <v>1</v>
      </c>
      <c r="G788" s="8" t="n"/>
      <c r="H788" s="27" t="n"/>
      <c r="I788" s="27" t="n"/>
      <c r="J788" s="8" t="n"/>
      <c r="K788" s="8" t="n"/>
      <c r="L788" s="10" t="n"/>
      <c r="M788" s="8" t="n"/>
      <c r="N788" s="11">
        <f>IF(OR(J788="",H788="",I788=""),"",J788/((I788-H788)*1440))</f>
        <v/>
      </c>
      <c r="O788" s="7" t="n"/>
      <c r="P788" s="7" t="n"/>
      <c r="Q788" s="7" t="n"/>
      <c r="R788" s="12" t="n"/>
      <c r="S788" s="13">
        <f>IF(OR(R788="",J788=""),"",R788/J788-1)</f>
        <v/>
      </c>
      <c r="T788" s="14">
        <f>IF(OR(L788="",R788="",J788=""),"",SQRT(4+(L788^2-4)*(R788/J788)^2))</f>
        <v/>
      </c>
      <c r="U788" s="7" t="n"/>
      <c r="V788" s="7" t="n"/>
    </row>
    <row r="789">
      <c r="A789" s="7" t="inlineStr">
        <is>
          <t>b-11/4-1-i2</t>
        </is>
      </c>
      <c r="B789" s="7" t="inlineStr">
        <is>
          <t>1 1/4</t>
        </is>
      </c>
      <c r="C789" s="7" t="inlineStr">
        <is>
          <t>b</t>
        </is>
      </c>
      <c r="D789" s="7" t="inlineStr">
        <is>
          <t>b (.825)</t>
        </is>
      </c>
      <c r="E789" s="7" t="n">
        <v>1</v>
      </c>
      <c r="F789" s="7" t="n">
        <v>2</v>
      </c>
      <c r="G789" s="8" t="n"/>
      <c r="H789" s="27" t="n"/>
      <c r="I789" s="27" t="n"/>
      <c r="J789" s="8" t="n"/>
      <c r="K789" s="8" t="n"/>
      <c r="L789" s="10" t="n"/>
      <c r="M789" s="8" t="n"/>
      <c r="N789" s="11">
        <f>IF(OR(J789="",H789="",I789=""),"",J789/((I789-H789)*1440))</f>
        <v/>
      </c>
      <c r="O789" s="7" t="n"/>
      <c r="P789" s="7" t="n"/>
      <c r="Q789" s="7" t="n"/>
      <c r="R789" s="12" t="n"/>
      <c r="S789" s="13">
        <f>IF(OR(R789="",J789=""),"",R789/J789-1)</f>
        <v/>
      </c>
      <c r="T789" s="14">
        <f>IF(OR(L789="",R789="",J789=""),"",SQRT(4+(L789^2-4)*(R789/J789)^2))</f>
        <v/>
      </c>
      <c r="U789" s="7" t="n"/>
      <c r="V789" s="7" t="n"/>
    </row>
    <row r="790">
      <c r="A790" s="7" t="inlineStr">
        <is>
          <t>b-11/4-1-i3</t>
        </is>
      </c>
      <c r="B790" s="7" t="inlineStr">
        <is>
          <t>1 1/4</t>
        </is>
      </c>
      <c r="C790" s="7" t="inlineStr">
        <is>
          <t>b</t>
        </is>
      </c>
      <c r="D790" s="7" t="inlineStr">
        <is>
          <t>b (.825)</t>
        </is>
      </c>
      <c r="E790" s="7" t="n">
        <v>1</v>
      </c>
      <c r="F790" s="7" t="n">
        <v>3</v>
      </c>
      <c r="G790" s="8" t="n"/>
      <c r="H790" s="27" t="n"/>
      <c r="I790" s="27" t="n"/>
      <c r="J790" s="8" t="n"/>
      <c r="K790" s="8" t="n"/>
      <c r="L790" s="10" t="n"/>
      <c r="M790" s="8" t="n"/>
      <c r="N790" s="11">
        <f>IF(OR(J790="",H790="",I790=""),"",J790/((I790-H790)*1440))</f>
        <v/>
      </c>
      <c r="O790" s="7" t="n"/>
      <c r="P790" s="7" t="n"/>
      <c r="Q790" s="7" t="n"/>
      <c r="R790" s="12" t="n"/>
      <c r="S790" s="13">
        <f>IF(OR(R790="",J790=""),"",R790/J790-1)</f>
        <v/>
      </c>
      <c r="T790" s="14">
        <f>IF(OR(L790="",R790="",J790=""),"",SQRT(4+(L790^2-4)*(R790/J790)^2))</f>
        <v/>
      </c>
      <c r="U790" s="7" t="n"/>
      <c r="V790" s="7" t="n"/>
    </row>
    <row r="791">
      <c r="A791" s="7" t="inlineStr">
        <is>
          <t>b-11/4-3-i1</t>
        </is>
      </c>
      <c r="B791" s="7" t="inlineStr">
        <is>
          <t>1 1/4</t>
        </is>
      </c>
      <c r="C791" s="7" t="inlineStr">
        <is>
          <t>b</t>
        </is>
      </c>
      <c r="D791" s="7" t="inlineStr">
        <is>
          <t>b (.825)</t>
        </is>
      </c>
      <c r="E791" s="7" t="n">
        <v>3</v>
      </c>
      <c r="F791" s="7" t="n">
        <v>1</v>
      </c>
      <c r="G791" s="8" t="n"/>
      <c r="H791" s="27" t="n"/>
      <c r="I791" s="27" t="n"/>
      <c r="J791" s="8" t="n"/>
      <c r="K791" s="8" t="n"/>
      <c r="L791" s="10" t="n"/>
      <c r="M791" s="8" t="n"/>
      <c r="N791" s="11">
        <f>IF(OR(J791="",H791="",I791=""),"",J791/((I791-H791)*1440))</f>
        <v/>
      </c>
      <c r="O791" s="7" t="n"/>
      <c r="P791" s="7" t="n"/>
      <c r="Q791" s="7" t="n"/>
      <c r="R791" s="12" t="n"/>
      <c r="S791" s="13">
        <f>IF(OR(R791="",J791=""),"",R791/J791-1)</f>
        <v/>
      </c>
      <c r="T791" s="14">
        <f>IF(OR(L791="",R791="",J791=""),"",SQRT(4+(L791^2-4)*(R791/J791)^2))</f>
        <v/>
      </c>
      <c r="U791" s="7" t="n"/>
      <c r="V791" s="7" t="n"/>
    </row>
    <row r="792">
      <c r="A792" s="7" t="inlineStr">
        <is>
          <t>b-11/4-3-i2</t>
        </is>
      </c>
      <c r="B792" s="7" t="inlineStr">
        <is>
          <t>1 1/4</t>
        </is>
      </c>
      <c r="C792" s="7" t="inlineStr">
        <is>
          <t>b</t>
        </is>
      </c>
      <c r="D792" s="7" t="inlineStr">
        <is>
          <t>b (.825)</t>
        </is>
      </c>
      <c r="E792" s="7" t="n">
        <v>3</v>
      </c>
      <c r="F792" s="7" t="n">
        <v>2</v>
      </c>
      <c r="G792" s="8" t="n"/>
      <c r="H792" s="27" t="n"/>
      <c r="I792" s="27" t="n"/>
      <c r="J792" s="8" t="n"/>
      <c r="K792" s="8" t="n"/>
      <c r="L792" s="10" t="n"/>
      <c r="M792" s="8" t="n"/>
      <c r="N792" s="11">
        <f>IF(OR(J792="",H792="",I792=""),"",J792/((I792-H792)*1440))</f>
        <v/>
      </c>
      <c r="O792" s="7" t="n"/>
      <c r="P792" s="7" t="n"/>
      <c r="Q792" s="7" t="n"/>
      <c r="R792" s="12" t="n"/>
      <c r="S792" s="13">
        <f>IF(OR(R792="",J792=""),"",R792/J792-1)</f>
        <v/>
      </c>
      <c r="T792" s="14">
        <f>IF(OR(L792="",R792="",J792=""),"",SQRT(4+(L792^2-4)*(R792/J792)^2))</f>
        <v/>
      </c>
      <c r="U792" s="7" t="n"/>
      <c r="V792" s="7" t="n"/>
    </row>
    <row r="793">
      <c r="A793" s="7" t="inlineStr">
        <is>
          <t>b-11/4-3-i3</t>
        </is>
      </c>
      <c r="B793" s="7" t="inlineStr">
        <is>
          <t>1 1/4</t>
        </is>
      </c>
      <c r="C793" s="7" t="inlineStr">
        <is>
          <t>b</t>
        </is>
      </c>
      <c r="D793" s="7" t="inlineStr">
        <is>
          <t>b (.825)</t>
        </is>
      </c>
      <c r="E793" s="7" t="n">
        <v>3</v>
      </c>
      <c r="F793" s="7" t="n">
        <v>3</v>
      </c>
      <c r="G793" s="8" t="n"/>
      <c r="H793" s="27" t="n"/>
      <c r="I793" s="27" t="n"/>
      <c r="J793" s="8" t="n"/>
      <c r="K793" s="8" t="n"/>
      <c r="L793" s="10" t="n"/>
      <c r="M793" s="8" t="n"/>
      <c r="N793" s="11">
        <f>IF(OR(J793="",H793="",I793=""),"",J793/((I793-H793)*1440))</f>
        <v/>
      </c>
      <c r="O793" s="7" t="n"/>
      <c r="P793" s="7" t="n"/>
      <c r="Q793" s="7" t="n"/>
      <c r="R793" s="12" t="n"/>
      <c r="S793" s="13">
        <f>IF(OR(R793="",J793=""),"",R793/J793-1)</f>
        <v/>
      </c>
      <c r="T793" s="14">
        <f>IF(OR(L793="",R793="",J793=""),"",SQRT(4+(L793^2-4)*(R793/J793)^2))</f>
        <v/>
      </c>
      <c r="U793" s="7" t="n"/>
      <c r="V793" s="7" t="n"/>
    </row>
    <row r="794">
      <c r="A794" s="7" t="inlineStr">
        <is>
          <t>b-11/4-5-i1</t>
        </is>
      </c>
      <c r="B794" s="7" t="inlineStr">
        <is>
          <t>1 1/4</t>
        </is>
      </c>
      <c r="C794" s="7" t="inlineStr">
        <is>
          <t>b</t>
        </is>
      </c>
      <c r="D794" s="7" t="inlineStr">
        <is>
          <t>b (.825)</t>
        </is>
      </c>
      <c r="E794" s="7" t="n">
        <v>5</v>
      </c>
      <c r="F794" s="7" t="n">
        <v>1</v>
      </c>
      <c r="G794" s="8" t="n"/>
      <c r="H794" s="27" t="n"/>
      <c r="I794" s="27" t="n"/>
      <c r="J794" s="8" t="n"/>
      <c r="K794" s="8" t="n"/>
      <c r="L794" s="10" t="n"/>
      <c r="M794" s="8" t="n"/>
      <c r="N794" s="11">
        <f>IF(OR(J794="",H794="",I794=""),"",J794/((I794-H794)*1440))</f>
        <v/>
      </c>
      <c r="O794" s="7" t="n"/>
      <c r="P794" s="7" t="n"/>
      <c r="Q794" s="7" t="n"/>
      <c r="R794" s="12" t="n"/>
      <c r="S794" s="13">
        <f>IF(OR(R794="",J794=""),"",R794/J794-1)</f>
        <v/>
      </c>
      <c r="T794" s="14">
        <f>IF(OR(L794="",R794="",J794=""),"",SQRT(4+(L794^2-4)*(R794/J794)^2))</f>
        <v/>
      </c>
      <c r="U794" s="7" t="n"/>
      <c r="V794" s="7" t="n"/>
    </row>
    <row r="795">
      <c r="A795" s="7" t="inlineStr">
        <is>
          <t>b-11/4-5-i2</t>
        </is>
      </c>
      <c r="B795" s="7" t="inlineStr">
        <is>
          <t>1 1/4</t>
        </is>
      </c>
      <c r="C795" s="7" t="inlineStr">
        <is>
          <t>b</t>
        </is>
      </c>
      <c r="D795" s="7" t="inlineStr">
        <is>
          <t>b (.825)</t>
        </is>
      </c>
      <c r="E795" s="7" t="n">
        <v>5</v>
      </c>
      <c r="F795" s="7" t="n">
        <v>2</v>
      </c>
      <c r="G795" s="8" t="n"/>
      <c r="H795" s="27" t="n"/>
      <c r="I795" s="27" t="n"/>
      <c r="J795" s="8" t="n"/>
      <c r="K795" s="8" t="n"/>
      <c r="L795" s="10" t="n"/>
      <c r="M795" s="8" t="n"/>
      <c r="N795" s="11">
        <f>IF(OR(J795="",H795="",I795=""),"",J795/((I795-H795)*1440))</f>
        <v/>
      </c>
      <c r="O795" s="7" t="n"/>
      <c r="P795" s="7" t="n"/>
      <c r="Q795" s="7" t="n"/>
      <c r="R795" s="12" t="n"/>
      <c r="S795" s="13">
        <f>IF(OR(R795="",J795=""),"",R795/J795-1)</f>
        <v/>
      </c>
      <c r="T795" s="14">
        <f>IF(OR(L795="",R795="",J795=""),"",SQRT(4+(L795^2-4)*(R795/J795)^2))</f>
        <v/>
      </c>
      <c r="U795" s="7" t="n"/>
      <c r="V795" s="7" t="n"/>
    </row>
    <row r="796">
      <c r="A796" s="7" t="inlineStr">
        <is>
          <t>b-11/4-5-i3</t>
        </is>
      </c>
      <c r="B796" s="7" t="inlineStr">
        <is>
          <t>1 1/4</t>
        </is>
      </c>
      <c r="C796" s="7" t="inlineStr">
        <is>
          <t>b</t>
        </is>
      </c>
      <c r="D796" s="7" t="inlineStr">
        <is>
          <t>b (.825)</t>
        </is>
      </c>
      <c r="E796" s="7" t="n">
        <v>5</v>
      </c>
      <c r="F796" s="7" t="n">
        <v>3</v>
      </c>
      <c r="G796" s="8" t="n"/>
      <c r="H796" s="27" t="n"/>
      <c r="I796" s="27" t="n"/>
      <c r="J796" s="8" t="n"/>
      <c r="K796" s="8" t="n"/>
      <c r="L796" s="10" t="n"/>
      <c r="M796" s="8" t="n"/>
      <c r="N796" s="11">
        <f>IF(OR(J796="",H796="",I796=""),"",J796/((I796-H796)*1440))</f>
        <v/>
      </c>
      <c r="O796" s="7" t="n"/>
      <c r="P796" s="7" t="n"/>
      <c r="Q796" s="7" t="n"/>
      <c r="R796" s="12" t="n"/>
      <c r="S796" s="13">
        <f>IF(OR(R796="",J796=""),"",R796/J796-1)</f>
        <v/>
      </c>
      <c r="T796" s="14">
        <f>IF(OR(L796="",R796="",J796=""),"",SQRT(4+(L796^2-4)*(R796/J796)^2))</f>
        <v/>
      </c>
      <c r="U796" s="7" t="n"/>
      <c r="V796" s="7" t="n"/>
    </row>
    <row r="797">
      <c r="A797" s="7" t="inlineStr">
        <is>
          <t>b-11/4-10-i1</t>
        </is>
      </c>
      <c r="B797" s="7" t="inlineStr">
        <is>
          <t>1 1/4</t>
        </is>
      </c>
      <c r="C797" s="7" t="inlineStr">
        <is>
          <t>b</t>
        </is>
      </c>
      <c r="D797" s="7" t="inlineStr">
        <is>
          <t>b (.825)</t>
        </is>
      </c>
      <c r="E797" s="7" t="n">
        <v>10</v>
      </c>
      <c r="F797" s="7" t="n">
        <v>1</v>
      </c>
      <c r="G797" s="8" t="n"/>
      <c r="H797" s="27" t="n"/>
      <c r="I797" s="27" t="n"/>
      <c r="J797" s="8" t="n"/>
      <c r="K797" s="8" t="n"/>
      <c r="L797" s="10" t="n"/>
      <c r="M797" s="8" t="n"/>
      <c r="N797" s="11">
        <f>IF(OR(J797="",H797="",I797=""),"",J797/((I797-H797)*1440))</f>
        <v/>
      </c>
      <c r="O797" s="7" t="n"/>
      <c r="P797" s="7" t="n"/>
      <c r="Q797" s="7" t="n"/>
      <c r="R797" s="12" t="n"/>
      <c r="S797" s="13">
        <f>IF(OR(R797="",J797=""),"",R797/J797-1)</f>
        <v/>
      </c>
      <c r="T797" s="14">
        <f>IF(OR(L797="",R797="",J797=""),"",SQRT(4+(L797^2-4)*(R797/J797)^2))</f>
        <v/>
      </c>
      <c r="U797" s="7" t="n"/>
      <c r="V797" s="7" t="n"/>
    </row>
    <row r="798">
      <c r="A798" s="7" t="inlineStr">
        <is>
          <t>b-11/4-10-i2</t>
        </is>
      </c>
      <c r="B798" s="7" t="inlineStr">
        <is>
          <t>1 1/4</t>
        </is>
      </c>
      <c r="C798" s="7" t="inlineStr">
        <is>
          <t>b</t>
        </is>
      </c>
      <c r="D798" s="7" t="inlineStr">
        <is>
          <t>b (.825)</t>
        </is>
      </c>
      <c r="E798" s="7" t="n">
        <v>10</v>
      </c>
      <c r="F798" s="7" t="n">
        <v>2</v>
      </c>
      <c r="G798" s="8" t="n"/>
      <c r="H798" s="27" t="n"/>
      <c r="I798" s="27" t="n"/>
      <c r="J798" s="8" t="n"/>
      <c r="K798" s="8" t="n"/>
      <c r="L798" s="10" t="n"/>
      <c r="M798" s="8" t="n"/>
      <c r="N798" s="11">
        <f>IF(OR(J798="",H798="",I798=""),"",J798/((I798-H798)*1440))</f>
        <v/>
      </c>
      <c r="O798" s="7" t="n"/>
      <c r="P798" s="7" t="n"/>
      <c r="Q798" s="7" t="n"/>
      <c r="R798" s="12" t="n"/>
      <c r="S798" s="13">
        <f>IF(OR(R798="",J798=""),"",R798/J798-1)</f>
        <v/>
      </c>
      <c r="T798" s="14">
        <f>IF(OR(L798="",R798="",J798=""),"",SQRT(4+(L798^2-4)*(R798/J798)^2))</f>
        <v/>
      </c>
      <c r="U798" s="7" t="n"/>
      <c r="V798" s="7" t="n"/>
    </row>
    <row r="799">
      <c r="A799" s="7" t="inlineStr">
        <is>
          <t>b-11/4-10-i3</t>
        </is>
      </c>
      <c r="B799" s="7" t="inlineStr">
        <is>
          <t>1 1/4</t>
        </is>
      </c>
      <c r="C799" s="7" t="inlineStr">
        <is>
          <t>b</t>
        </is>
      </c>
      <c r="D799" s="7" t="inlineStr">
        <is>
          <t>b (.825)</t>
        </is>
      </c>
      <c r="E799" s="7" t="n">
        <v>10</v>
      </c>
      <c r="F799" s="7" t="n">
        <v>3</v>
      </c>
      <c r="G799" s="8" t="n"/>
      <c r="H799" s="27" t="n"/>
      <c r="I799" s="27" t="n"/>
      <c r="J799" s="8" t="n"/>
      <c r="K799" s="8" t="n"/>
      <c r="L799" s="10" t="n"/>
      <c r="M799" s="8" t="n"/>
      <c r="N799" s="11">
        <f>IF(OR(J799="",H799="",I799=""),"",J799/((I799-H799)*1440))</f>
        <v/>
      </c>
      <c r="O799" s="7" t="n"/>
      <c r="P799" s="7" t="n"/>
      <c r="Q799" s="7" t="n"/>
      <c r="R799" s="12" t="n"/>
      <c r="S799" s="13">
        <f>IF(OR(R799="",J799=""),"",R799/J799-1)</f>
        <v/>
      </c>
      <c r="T799" s="14">
        <f>IF(OR(L799="",R799="",J799=""),"",SQRT(4+(L799^2-4)*(R799/J799)^2))</f>
        <v/>
      </c>
      <c r="U799" s="7" t="n"/>
      <c r="V799" s="7" t="n"/>
    </row>
    <row r="800">
      <c r="A800" s="7" t="inlineStr">
        <is>
          <t>C-11/4-0.5-i1</t>
        </is>
      </c>
      <c r="B800" s="7" t="inlineStr">
        <is>
          <t>1 1/4</t>
        </is>
      </c>
      <c r="C800" s="7" t="inlineStr">
        <is>
          <t>C</t>
        </is>
      </c>
      <c r="D800" s="7" t="inlineStr">
        <is>
          <t>C</t>
        </is>
      </c>
      <c r="E800" s="7" t="n">
        <v>0.5</v>
      </c>
      <c r="F800" s="7" t="n">
        <v>1</v>
      </c>
      <c r="G800" s="8" t="n"/>
      <c r="H800" s="27" t="n"/>
      <c r="I800" s="27" t="n"/>
      <c r="J800" s="8" t="n"/>
      <c r="K800" s="8" t="n"/>
      <c r="L800" s="10" t="n"/>
      <c r="M800" s="8" t="n"/>
      <c r="N800" s="11">
        <f>IF(OR(J800="",H800="",I800=""),"",J800/((I800-H800)*1440))</f>
        <v/>
      </c>
      <c r="O800" s="7" t="n"/>
      <c r="P800" s="7" t="n"/>
      <c r="Q800" s="7" t="n"/>
      <c r="R800" s="12" t="n"/>
      <c r="S800" s="13">
        <f>IF(OR(R800="",J800=""),"",R800/J800-1)</f>
        <v/>
      </c>
      <c r="T800" s="14">
        <f>IF(OR(L800="",R800="",J800=""),"",SQRT(4+(L800^2-4)*(R800/J800)^2))</f>
        <v/>
      </c>
      <c r="U800" s="7" t="n"/>
      <c r="V800" s="7" t="n"/>
    </row>
    <row r="801">
      <c r="A801" s="7" t="inlineStr">
        <is>
          <t>C-11/4-0.5-i2</t>
        </is>
      </c>
      <c r="B801" s="7" t="inlineStr">
        <is>
          <t>1 1/4</t>
        </is>
      </c>
      <c r="C801" s="7" t="inlineStr">
        <is>
          <t>C</t>
        </is>
      </c>
      <c r="D801" s="7" t="inlineStr">
        <is>
          <t>C</t>
        </is>
      </c>
      <c r="E801" s="7" t="n">
        <v>0.5</v>
      </c>
      <c r="F801" s="7" t="n">
        <v>2</v>
      </c>
      <c r="G801" s="8" t="n"/>
      <c r="H801" s="27" t="n"/>
      <c r="I801" s="27" t="n"/>
      <c r="J801" s="8" t="n"/>
      <c r="K801" s="8" t="n"/>
      <c r="L801" s="10" t="n"/>
      <c r="M801" s="8" t="n"/>
      <c r="N801" s="11">
        <f>IF(OR(J801="",H801="",I801=""),"",J801/((I801-H801)*1440))</f>
        <v/>
      </c>
      <c r="O801" s="7" t="n"/>
      <c r="P801" s="7" t="n"/>
      <c r="Q801" s="7" t="n"/>
      <c r="R801" s="12" t="n"/>
      <c r="S801" s="13">
        <f>IF(OR(R801="",J801=""),"",R801/J801-1)</f>
        <v/>
      </c>
      <c r="T801" s="14">
        <f>IF(OR(L801="",R801="",J801=""),"",SQRT(4+(L801^2-4)*(R801/J801)^2))</f>
        <v/>
      </c>
      <c r="U801" s="7" t="n"/>
      <c r="V801" s="7" t="n"/>
    </row>
    <row r="802">
      <c r="A802" s="7" t="inlineStr">
        <is>
          <t>C-11/4-0.5-i3</t>
        </is>
      </c>
      <c r="B802" s="7" t="inlineStr">
        <is>
          <t>1 1/4</t>
        </is>
      </c>
      <c r="C802" s="7" t="inlineStr">
        <is>
          <t>C</t>
        </is>
      </c>
      <c r="D802" s="7" t="inlineStr">
        <is>
          <t>C</t>
        </is>
      </c>
      <c r="E802" s="7" t="n">
        <v>0.5</v>
      </c>
      <c r="F802" s="7" t="n">
        <v>3</v>
      </c>
      <c r="G802" s="8" t="n"/>
      <c r="H802" s="27" t="n"/>
      <c r="I802" s="27" t="n"/>
      <c r="J802" s="8" t="n"/>
      <c r="K802" s="8" t="n"/>
      <c r="L802" s="10" t="n"/>
      <c r="M802" s="8" t="n"/>
      <c r="N802" s="11">
        <f>IF(OR(J802="",H802="",I802=""),"",J802/((I802-H802)*1440))</f>
        <v/>
      </c>
      <c r="O802" s="7" t="n"/>
      <c r="P802" s="7" t="n"/>
      <c r="Q802" s="7" t="n"/>
      <c r="R802" s="12" t="n"/>
      <c r="S802" s="13">
        <f>IF(OR(R802="",J802=""),"",R802/J802-1)</f>
        <v/>
      </c>
      <c r="T802" s="14">
        <f>IF(OR(L802="",R802="",J802=""),"",SQRT(4+(L802^2-4)*(R802/J802)^2))</f>
        <v/>
      </c>
      <c r="U802" s="7" t="n"/>
      <c r="V802" s="7" t="n"/>
    </row>
    <row r="803">
      <c r="A803" s="7" t="inlineStr">
        <is>
          <t>C-11/4-1-i1</t>
        </is>
      </c>
      <c r="B803" s="7" t="inlineStr">
        <is>
          <t>1 1/4</t>
        </is>
      </c>
      <c r="C803" s="7" t="inlineStr">
        <is>
          <t>C</t>
        </is>
      </c>
      <c r="D803" s="7" t="inlineStr">
        <is>
          <t>C</t>
        </is>
      </c>
      <c r="E803" s="7" t="n">
        <v>1</v>
      </c>
      <c r="F803" s="7" t="n">
        <v>1</v>
      </c>
      <c r="G803" s="8" t="n"/>
      <c r="H803" s="27" t="n"/>
      <c r="I803" s="27" t="n"/>
      <c r="J803" s="8" t="n"/>
      <c r="K803" s="8" t="n"/>
      <c r="L803" s="10" t="n"/>
      <c r="M803" s="8" t="n"/>
      <c r="N803" s="11">
        <f>IF(OR(J803="",H803="",I803=""),"",J803/((I803-H803)*1440))</f>
        <v/>
      </c>
      <c r="O803" s="7" t="n"/>
      <c r="P803" s="7" t="n"/>
      <c r="Q803" s="7" t="n"/>
      <c r="R803" s="12" t="n"/>
      <c r="S803" s="13">
        <f>IF(OR(R803="",J803=""),"",R803/J803-1)</f>
        <v/>
      </c>
      <c r="T803" s="14">
        <f>IF(OR(L803="",R803="",J803=""),"",SQRT(4+(L803^2-4)*(R803/J803)^2))</f>
        <v/>
      </c>
      <c r="U803" s="7" t="n"/>
      <c r="V803" s="7" t="n"/>
    </row>
    <row r="804">
      <c r="A804" s="7" t="inlineStr">
        <is>
          <t>C-11/4-1-i2</t>
        </is>
      </c>
      <c r="B804" s="7" t="inlineStr">
        <is>
          <t>1 1/4</t>
        </is>
      </c>
      <c r="C804" s="7" t="inlineStr">
        <is>
          <t>C</t>
        </is>
      </c>
      <c r="D804" s="7" t="inlineStr">
        <is>
          <t>C</t>
        </is>
      </c>
      <c r="E804" s="7" t="n">
        <v>1</v>
      </c>
      <c r="F804" s="7" t="n">
        <v>2</v>
      </c>
      <c r="G804" s="8" t="n"/>
      <c r="H804" s="27" t="n"/>
      <c r="I804" s="27" t="n"/>
      <c r="J804" s="8" t="n"/>
      <c r="K804" s="8" t="n"/>
      <c r="L804" s="10" t="n"/>
      <c r="M804" s="8" t="n"/>
      <c r="N804" s="11">
        <f>IF(OR(J804="",H804="",I804=""),"",J804/((I804-H804)*1440))</f>
        <v/>
      </c>
      <c r="O804" s="7" t="n"/>
      <c r="P804" s="7" t="n"/>
      <c r="Q804" s="7" t="n"/>
      <c r="R804" s="12" t="n"/>
      <c r="S804" s="13">
        <f>IF(OR(R804="",J804=""),"",R804/J804-1)</f>
        <v/>
      </c>
      <c r="T804" s="14">
        <f>IF(OR(L804="",R804="",J804=""),"",SQRT(4+(L804^2-4)*(R804/J804)^2))</f>
        <v/>
      </c>
      <c r="U804" s="7" t="n"/>
      <c r="V804" s="7" t="n"/>
    </row>
    <row r="805">
      <c r="A805" s="7" t="inlineStr">
        <is>
          <t>C-11/4-1-i3</t>
        </is>
      </c>
      <c r="B805" s="7" t="inlineStr">
        <is>
          <t>1 1/4</t>
        </is>
      </c>
      <c r="C805" s="7" t="inlineStr">
        <is>
          <t>C</t>
        </is>
      </c>
      <c r="D805" s="7" t="inlineStr">
        <is>
          <t>C</t>
        </is>
      </c>
      <c r="E805" s="7" t="n">
        <v>1</v>
      </c>
      <c r="F805" s="7" t="n">
        <v>3</v>
      </c>
      <c r="G805" s="8" t="n"/>
      <c r="H805" s="27" t="n"/>
      <c r="I805" s="27" t="n"/>
      <c r="J805" s="8" t="n"/>
      <c r="K805" s="8" t="n"/>
      <c r="L805" s="10" t="n"/>
      <c r="M805" s="8" t="n"/>
      <c r="N805" s="11">
        <f>IF(OR(J805="",H805="",I805=""),"",J805/((I805-H805)*1440))</f>
        <v/>
      </c>
      <c r="O805" s="7" t="n"/>
      <c r="P805" s="7" t="n"/>
      <c r="Q805" s="7" t="n"/>
      <c r="R805" s="12" t="n"/>
      <c r="S805" s="13">
        <f>IF(OR(R805="",J805=""),"",R805/J805-1)</f>
        <v/>
      </c>
      <c r="T805" s="14">
        <f>IF(OR(L805="",R805="",J805=""),"",SQRT(4+(L805^2-4)*(R805/J805)^2))</f>
        <v/>
      </c>
      <c r="U805" s="7" t="n"/>
      <c r="V805" s="7" t="n"/>
    </row>
    <row r="806">
      <c r="A806" s="7" t="inlineStr">
        <is>
          <t>C-11/4-3-i1</t>
        </is>
      </c>
      <c r="B806" s="7" t="inlineStr">
        <is>
          <t>1 1/4</t>
        </is>
      </c>
      <c r="C806" s="7" t="inlineStr">
        <is>
          <t>C</t>
        </is>
      </c>
      <c r="D806" s="7" t="inlineStr">
        <is>
          <t>C</t>
        </is>
      </c>
      <c r="E806" s="7" t="n">
        <v>3</v>
      </c>
      <c r="F806" s="7" t="n">
        <v>1</v>
      </c>
      <c r="G806" s="8" t="n"/>
      <c r="H806" s="27" t="n"/>
      <c r="I806" s="27" t="n"/>
      <c r="J806" s="8" t="n"/>
      <c r="K806" s="8" t="n"/>
      <c r="L806" s="10" t="n"/>
      <c r="M806" s="8" t="n"/>
      <c r="N806" s="11">
        <f>IF(OR(J806="",H806="",I806=""),"",J806/((I806-H806)*1440))</f>
        <v/>
      </c>
      <c r="O806" s="7" t="n"/>
      <c r="P806" s="7" t="n"/>
      <c r="Q806" s="7" t="n"/>
      <c r="R806" s="12" t="n"/>
      <c r="S806" s="13">
        <f>IF(OR(R806="",J806=""),"",R806/J806-1)</f>
        <v/>
      </c>
      <c r="T806" s="14">
        <f>IF(OR(L806="",R806="",J806=""),"",SQRT(4+(L806^2-4)*(R806/J806)^2))</f>
        <v/>
      </c>
      <c r="U806" s="7" t="n"/>
      <c r="V806" s="7" t="n"/>
    </row>
    <row r="807">
      <c r="A807" s="7" t="inlineStr">
        <is>
          <t>C-11/4-3-i2</t>
        </is>
      </c>
      <c r="B807" s="7" t="inlineStr">
        <is>
          <t>1 1/4</t>
        </is>
      </c>
      <c r="C807" s="7" t="inlineStr">
        <is>
          <t>C</t>
        </is>
      </c>
      <c r="D807" s="7" t="inlineStr">
        <is>
          <t>C</t>
        </is>
      </c>
      <c r="E807" s="7" t="n">
        <v>3</v>
      </c>
      <c r="F807" s="7" t="n">
        <v>2</v>
      </c>
      <c r="G807" s="8" t="n"/>
      <c r="H807" s="27" t="n"/>
      <c r="I807" s="27" t="n"/>
      <c r="J807" s="8" t="n"/>
      <c r="K807" s="8" t="n"/>
      <c r="L807" s="10" t="n"/>
      <c r="M807" s="8" t="n"/>
      <c r="N807" s="11">
        <f>IF(OR(J807="",H807="",I807=""),"",J807/((I807-H807)*1440))</f>
        <v/>
      </c>
      <c r="O807" s="7" t="n"/>
      <c r="P807" s="7" t="n"/>
      <c r="Q807" s="7" t="n"/>
      <c r="R807" s="12" t="n"/>
      <c r="S807" s="13">
        <f>IF(OR(R807="",J807=""),"",R807/J807-1)</f>
        <v/>
      </c>
      <c r="T807" s="14">
        <f>IF(OR(L807="",R807="",J807=""),"",SQRT(4+(L807^2-4)*(R807/J807)^2))</f>
        <v/>
      </c>
      <c r="U807" s="7" t="n"/>
      <c r="V807" s="7" t="n"/>
    </row>
    <row r="808">
      <c r="A808" s="7" t="inlineStr">
        <is>
          <t>C-11/4-3-i3</t>
        </is>
      </c>
      <c r="B808" s="7" t="inlineStr">
        <is>
          <t>1 1/4</t>
        </is>
      </c>
      <c r="C808" s="7" t="inlineStr">
        <is>
          <t>C</t>
        </is>
      </c>
      <c r="D808" s="7" t="inlineStr">
        <is>
          <t>C</t>
        </is>
      </c>
      <c r="E808" s="7" t="n">
        <v>3</v>
      </c>
      <c r="F808" s="7" t="n">
        <v>3</v>
      </c>
      <c r="G808" s="8" t="n"/>
      <c r="H808" s="27" t="n"/>
      <c r="I808" s="27" t="n"/>
      <c r="J808" s="8" t="n"/>
      <c r="K808" s="8" t="n"/>
      <c r="L808" s="10" t="n"/>
      <c r="M808" s="8" t="n"/>
      <c r="N808" s="11">
        <f>IF(OR(J808="",H808="",I808=""),"",J808/((I808-H808)*1440))</f>
        <v/>
      </c>
      <c r="O808" s="7" t="n"/>
      <c r="P808" s="7" t="n"/>
      <c r="Q808" s="7" t="n"/>
      <c r="R808" s="12" t="n"/>
      <c r="S808" s="13">
        <f>IF(OR(R808="",J808=""),"",R808/J808-1)</f>
        <v/>
      </c>
      <c r="T808" s="14">
        <f>IF(OR(L808="",R808="",J808=""),"",SQRT(4+(L808^2-4)*(R808/J808)^2))</f>
        <v/>
      </c>
      <c r="U808" s="7" t="n"/>
      <c r="V808" s="7" t="n"/>
    </row>
    <row r="809">
      <c r="A809" s="7" t="inlineStr">
        <is>
          <t>C-11/4-5-i1</t>
        </is>
      </c>
      <c r="B809" s="7" t="inlineStr">
        <is>
          <t>1 1/4</t>
        </is>
      </c>
      <c r="C809" s="7" t="inlineStr">
        <is>
          <t>C</t>
        </is>
      </c>
      <c r="D809" s="7" t="inlineStr">
        <is>
          <t>C</t>
        </is>
      </c>
      <c r="E809" s="7" t="n">
        <v>5</v>
      </c>
      <c r="F809" s="7" t="n">
        <v>1</v>
      </c>
      <c r="G809" s="8" t="n"/>
      <c r="H809" s="27" t="n"/>
      <c r="I809" s="27" t="n"/>
      <c r="J809" s="8" t="n"/>
      <c r="K809" s="8" t="n"/>
      <c r="L809" s="10" t="n"/>
      <c r="M809" s="8" t="n"/>
      <c r="N809" s="11">
        <f>IF(OR(J809="",H809="",I809=""),"",J809/((I809-H809)*1440))</f>
        <v/>
      </c>
      <c r="O809" s="7" t="n"/>
      <c r="P809" s="7" t="n"/>
      <c r="Q809" s="7" t="n"/>
      <c r="R809" s="12" t="n"/>
      <c r="S809" s="13">
        <f>IF(OR(R809="",J809=""),"",R809/J809-1)</f>
        <v/>
      </c>
      <c r="T809" s="14">
        <f>IF(OR(L809="",R809="",J809=""),"",SQRT(4+(L809^2-4)*(R809/J809)^2))</f>
        <v/>
      </c>
      <c r="U809" s="7" t="n"/>
      <c r="V809" s="7" t="n"/>
    </row>
    <row r="810">
      <c r="A810" s="7" t="inlineStr">
        <is>
          <t>C-11/4-5-i2</t>
        </is>
      </c>
      <c r="B810" s="7" t="inlineStr">
        <is>
          <t>1 1/4</t>
        </is>
      </c>
      <c r="C810" s="7" t="inlineStr">
        <is>
          <t>C</t>
        </is>
      </c>
      <c r="D810" s="7" t="inlineStr">
        <is>
          <t>C</t>
        </is>
      </c>
      <c r="E810" s="7" t="n">
        <v>5</v>
      </c>
      <c r="F810" s="7" t="n">
        <v>2</v>
      </c>
      <c r="G810" s="8" t="n"/>
      <c r="H810" s="27" t="n"/>
      <c r="I810" s="27" t="n"/>
      <c r="J810" s="8" t="n"/>
      <c r="K810" s="8" t="n"/>
      <c r="L810" s="10" t="n"/>
      <c r="M810" s="8" t="n"/>
      <c r="N810" s="11">
        <f>IF(OR(J810="",H810="",I810=""),"",J810/((I810-H810)*1440))</f>
        <v/>
      </c>
      <c r="O810" s="7" t="n"/>
      <c r="P810" s="7" t="n"/>
      <c r="Q810" s="7" t="n"/>
      <c r="R810" s="12" t="n"/>
      <c r="S810" s="13">
        <f>IF(OR(R810="",J810=""),"",R810/J810-1)</f>
        <v/>
      </c>
      <c r="T810" s="14">
        <f>IF(OR(L810="",R810="",J810=""),"",SQRT(4+(L810^2-4)*(R810/J810)^2))</f>
        <v/>
      </c>
      <c r="U810" s="7" t="n"/>
      <c r="V810" s="7" t="n"/>
    </row>
    <row r="811">
      <c r="A811" s="7" t="inlineStr">
        <is>
          <t>C-11/4-5-i3</t>
        </is>
      </c>
      <c r="B811" s="7" t="inlineStr">
        <is>
          <t>1 1/4</t>
        </is>
      </c>
      <c r="C811" s="7" t="inlineStr">
        <is>
          <t>C</t>
        </is>
      </c>
      <c r="D811" s="7" t="inlineStr">
        <is>
          <t>C</t>
        </is>
      </c>
      <c r="E811" s="7" t="n">
        <v>5</v>
      </c>
      <c r="F811" s="7" t="n">
        <v>3</v>
      </c>
      <c r="G811" s="8" t="n"/>
      <c r="H811" s="27" t="n"/>
      <c r="I811" s="27" t="n"/>
      <c r="J811" s="8" t="n"/>
      <c r="K811" s="8" t="n"/>
      <c r="L811" s="10" t="n"/>
      <c r="M811" s="8" t="n"/>
      <c r="N811" s="11">
        <f>IF(OR(J811="",H811="",I811=""),"",J811/((I811-H811)*1440))</f>
        <v/>
      </c>
      <c r="O811" s="7" t="n"/>
      <c r="P811" s="7" t="n"/>
      <c r="Q811" s="7" t="n"/>
      <c r="R811" s="12" t="n"/>
      <c r="S811" s="13">
        <f>IF(OR(R811="",J811=""),"",R811/J811-1)</f>
        <v/>
      </c>
      <c r="T811" s="14">
        <f>IF(OR(L811="",R811="",J811=""),"",SQRT(4+(L811^2-4)*(R811/J811)^2))</f>
        <v/>
      </c>
      <c r="U811" s="7" t="n"/>
      <c r="V811" s="7" t="n"/>
    </row>
    <row r="812">
      <c r="A812" s="7" t="inlineStr">
        <is>
          <t>C-11/4-10-i1</t>
        </is>
      </c>
      <c r="B812" s="7" t="inlineStr">
        <is>
          <t>1 1/4</t>
        </is>
      </c>
      <c r="C812" s="7" t="inlineStr">
        <is>
          <t>C</t>
        </is>
      </c>
      <c r="D812" s="7" t="inlineStr">
        <is>
          <t>C</t>
        </is>
      </c>
      <c r="E812" s="7" t="n">
        <v>10</v>
      </c>
      <c r="F812" s="7" t="n">
        <v>1</v>
      </c>
      <c r="G812" s="8" t="n"/>
      <c r="H812" s="27" t="n"/>
      <c r="I812" s="27" t="n"/>
      <c r="J812" s="8" t="n"/>
      <c r="K812" s="8" t="n"/>
      <c r="L812" s="10" t="n"/>
      <c r="M812" s="8" t="n"/>
      <c r="N812" s="11">
        <f>IF(OR(J812="",H812="",I812=""),"",J812/((I812-H812)*1440))</f>
        <v/>
      </c>
      <c r="O812" s="7" t="n"/>
      <c r="P812" s="7" t="n"/>
      <c r="Q812" s="7" t="n"/>
      <c r="R812" s="12" t="n"/>
      <c r="S812" s="13">
        <f>IF(OR(R812="",J812=""),"",R812/J812-1)</f>
        <v/>
      </c>
      <c r="T812" s="14">
        <f>IF(OR(L812="",R812="",J812=""),"",SQRT(4+(L812^2-4)*(R812/J812)^2))</f>
        <v/>
      </c>
      <c r="U812" s="7" t="n"/>
      <c r="V812" s="7" t="n"/>
    </row>
    <row r="813">
      <c r="A813" s="7" t="inlineStr">
        <is>
          <t>C-11/4-10-i2</t>
        </is>
      </c>
      <c r="B813" s="7" t="inlineStr">
        <is>
          <t>1 1/4</t>
        </is>
      </c>
      <c r="C813" s="7" t="inlineStr">
        <is>
          <t>C</t>
        </is>
      </c>
      <c r="D813" s="7" t="inlineStr">
        <is>
          <t>C</t>
        </is>
      </c>
      <c r="E813" s="7" t="n">
        <v>10</v>
      </c>
      <c r="F813" s="7" t="n">
        <v>2</v>
      </c>
      <c r="G813" s="8" t="n"/>
      <c r="H813" s="27" t="n"/>
      <c r="I813" s="27" t="n"/>
      <c r="J813" s="8" t="n"/>
      <c r="K813" s="8" t="n"/>
      <c r="L813" s="10" t="n"/>
      <c r="M813" s="8" t="n"/>
      <c r="N813" s="11">
        <f>IF(OR(J813="",H813="",I813=""),"",J813/((I813-H813)*1440))</f>
        <v/>
      </c>
      <c r="O813" s="7" t="n"/>
      <c r="P813" s="7" t="n"/>
      <c r="Q813" s="7" t="n"/>
      <c r="R813" s="12" t="n"/>
      <c r="S813" s="13">
        <f>IF(OR(R813="",J813=""),"",R813/J813-1)</f>
        <v/>
      </c>
      <c r="T813" s="14">
        <f>IF(OR(L813="",R813="",J813=""),"",SQRT(4+(L813^2-4)*(R813/J813)^2))</f>
        <v/>
      </c>
      <c r="U813" s="7" t="n"/>
      <c r="V813" s="7" t="n"/>
    </row>
    <row r="814">
      <c r="A814" s="7" t="inlineStr">
        <is>
          <t>C-11/4-10-i3</t>
        </is>
      </c>
      <c r="B814" s="7" t="inlineStr">
        <is>
          <t>1 1/4</t>
        </is>
      </c>
      <c r="C814" s="7" t="inlineStr">
        <is>
          <t>C</t>
        </is>
      </c>
      <c r="D814" s="7" t="inlineStr">
        <is>
          <t>C</t>
        </is>
      </c>
      <c r="E814" s="7" t="n">
        <v>10</v>
      </c>
      <c r="F814" s="7" t="n">
        <v>3</v>
      </c>
      <c r="G814" s="8" t="n"/>
      <c r="H814" s="27" t="n"/>
      <c r="I814" s="27" t="n"/>
      <c r="J814" s="8" t="n"/>
      <c r="K814" s="8" t="n"/>
      <c r="L814" s="10" t="n"/>
      <c r="M814" s="8" t="n"/>
      <c r="N814" s="11">
        <f>IF(OR(J814="",H814="",I814=""),"",J814/((I814-H814)*1440))</f>
        <v/>
      </c>
      <c r="O814" s="7" t="n"/>
      <c r="P814" s="7" t="n"/>
      <c r="Q814" s="7" t="n"/>
      <c r="R814" s="12" t="n"/>
      <c r="S814" s="13">
        <f>IF(OR(R814="",J814=""),"",R814/J814-1)</f>
        <v/>
      </c>
      <c r="T814" s="14">
        <f>IF(OR(L814="",R814="",J814=""),"",SQRT(4+(L814^2-4)*(R814/J814)^2))</f>
        <v/>
      </c>
      <c r="U814" s="7" t="n"/>
      <c r="V814" s="7" t="n"/>
    </row>
    <row r="815">
      <c r="A815" s="7" t="inlineStr">
        <is>
          <t>c-11/4-0.5-i1</t>
        </is>
      </c>
      <c r="B815" s="7" t="inlineStr">
        <is>
          <t>1 1/4</t>
        </is>
      </c>
      <c r="C815" s="7" t="inlineStr">
        <is>
          <t>c</t>
        </is>
      </c>
      <c r="D815" s="7" t="inlineStr">
        <is>
          <t>c</t>
        </is>
      </c>
      <c r="E815" s="7" t="n">
        <v>0.5</v>
      </c>
      <c r="F815" s="7" t="n">
        <v>1</v>
      </c>
      <c r="G815" s="8" t="n"/>
      <c r="H815" s="27" t="n"/>
      <c r="I815" s="27" t="n"/>
      <c r="J815" s="8" t="n"/>
      <c r="K815" s="8" t="n"/>
      <c r="L815" s="10" t="n"/>
      <c r="M815" s="8" t="n"/>
      <c r="N815" s="11">
        <f>IF(OR(J815="",H815="",I815=""),"",J815/((I815-H815)*1440))</f>
        <v/>
      </c>
      <c r="O815" s="7" t="n"/>
      <c r="P815" s="7" t="n"/>
      <c r="Q815" s="7" t="n"/>
      <c r="R815" s="12" t="n"/>
      <c r="S815" s="13">
        <f>IF(OR(R815="",J815=""),"",R815/J815-1)</f>
        <v/>
      </c>
      <c r="T815" s="14">
        <f>IF(OR(L815="",R815="",J815=""),"",SQRT(4+(L815^2-4)*(R815/J815)^2))</f>
        <v/>
      </c>
      <c r="U815" s="7" t="n"/>
      <c r="V815" s="7" t="n"/>
    </row>
    <row r="816">
      <c r="A816" s="7" t="inlineStr">
        <is>
          <t>c-11/4-0.5-i2</t>
        </is>
      </c>
      <c r="B816" s="7" t="inlineStr">
        <is>
          <t>1 1/4</t>
        </is>
      </c>
      <c r="C816" s="7" t="inlineStr">
        <is>
          <t>c</t>
        </is>
      </c>
      <c r="D816" s="7" t="inlineStr">
        <is>
          <t>c</t>
        </is>
      </c>
      <c r="E816" s="7" t="n">
        <v>0.5</v>
      </c>
      <c r="F816" s="7" t="n">
        <v>2</v>
      </c>
      <c r="G816" s="8" t="n"/>
      <c r="H816" s="27" t="n"/>
      <c r="I816" s="27" t="n"/>
      <c r="J816" s="8" t="n"/>
      <c r="K816" s="8" t="n"/>
      <c r="L816" s="10" t="n"/>
      <c r="M816" s="8" t="n"/>
      <c r="N816" s="11">
        <f>IF(OR(J816="",H816="",I816=""),"",J816/((I816-H816)*1440))</f>
        <v/>
      </c>
      <c r="O816" s="7" t="n"/>
      <c r="P816" s="7" t="n"/>
      <c r="Q816" s="7" t="n"/>
      <c r="R816" s="12" t="n"/>
      <c r="S816" s="13">
        <f>IF(OR(R816="",J816=""),"",R816/J816-1)</f>
        <v/>
      </c>
      <c r="T816" s="14">
        <f>IF(OR(L816="",R816="",J816=""),"",SQRT(4+(L816^2-4)*(R816/J816)^2))</f>
        <v/>
      </c>
      <c r="U816" s="7" t="n"/>
      <c r="V816" s="7" t="n"/>
    </row>
    <row r="817">
      <c r="A817" s="7" t="inlineStr">
        <is>
          <t>c-11/4-0.5-i3</t>
        </is>
      </c>
      <c r="B817" s="7" t="inlineStr">
        <is>
          <t>1 1/4</t>
        </is>
      </c>
      <c r="C817" s="7" t="inlineStr">
        <is>
          <t>c</t>
        </is>
      </c>
      <c r="D817" s="7" t="inlineStr">
        <is>
          <t>c</t>
        </is>
      </c>
      <c r="E817" s="7" t="n">
        <v>0.5</v>
      </c>
      <c r="F817" s="7" t="n">
        <v>3</v>
      </c>
      <c r="G817" s="8" t="n"/>
      <c r="H817" s="27" t="n"/>
      <c r="I817" s="27" t="n"/>
      <c r="J817" s="8" t="n"/>
      <c r="K817" s="8" t="n"/>
      <c r="L817" s="10" t="n"/>
      <c r="M817" s="8" t="n"/>
      <c r="N817" s="11">
        <f>IF(OR(J817="",H817="",I817=""),"",J817/((I817-H817)*1440))</f>
        <v/>
      </c>
      <c r="O817" s="7" t="n"/>
      <c r="P817" s="7" t="n"/>
      <c r="Q817" s="7" t="n"/>
      <c r="R817" s="12" t="n"/>
      <c r="S817" s="13">
        <f>IF(OR(R817="",J817=""),"",R817/J817-1)</f>
        <v/>
      </c>
      <c r="T817" s="14">
        <f>IF(OR(L817="",R817="",J817=""),"",SQRT(4+(L817^2-4)*(R817/J817)^2))</f>
        <v/>
      </c>
      <c r="U817" s="7" t="n"/>
      <c r="V817" s="7" t="n"/>
    </row>
    <row r="818">
      <c r="A818" s="7" t="inlineStr">
        <is>
          <t>c-11/4-1-i1</t>
        </is>
      </c>
      <c r="B818" s="7" t="inlineStr">
        <is>
          <t>1 1/4</t>
        </is>
      </c>
      <c r="C818" s="7" t="inlineStr">
        <is>
          <t>c</t>
        </is>
      </c>
      <c r="D818" s="7" t="inlineStr">
        <is>
          <t>c</t>
        </is>
      </c>
      <c r="E818" s="7" t="n">
        <v>1</v>
      </c>
      <c r="F818" s="7" t="n">
        <v>1</v>
      </c>
      <c r="G818" s="8" t="n"/>
      <c r="H818" s="27" t="n"/>
      <c r="I818" s="27" t="n"/>
      <c r="J818" s="8" t="n"/>
      <c r="K818" s="8" t="n"/>
      <c r="L818" s="10" t="n"/>
      <c r="M818" s="8" t="n"/>
      <c r="N818" s="11">
        <f>IF(OR(J818="",H818="",I818=""),"",J818/((I818-H818)*1440))</f>
        <v/>
      </c>
      <c r="O818" s="7" t="n"/>
      <c r="P818" s="7" t="n"/>
      <c r="Q818" s="7" t="n"/>
      <c r="R818" s="12" t="n"/>
      <c r="S818" s="13">
        <f>IF(OR(R818="",J818=""),"",R818/J818-1)</f>
        <v/>
      </c>
      <c r="T818" s="14">
        <f>IF(OR(L818="",R818="",J818=""),"",SQRT(4+(L818^2-4)*(R818/J818)^2))</f>
        <v/>
      </c>
      <c r="U818" s="7" t="n"/>
      <c r="V818" s="7" t="n"/>
    </row>
    <row r="819">
      <c r="A819" s="7" t="inlineStr">
        <is>
          <t>c-11/4-1-i2</t>
        </is>
      </c>
      <c r="B819" s="7" t="inlineStr">
        <is>
          <t>1 1/4</t>
        </is>
      </c>
      <c r="C819" s="7" t="inlineStr">
        <is>
          <t>c</t>
        </is>
      </c>
      <c r="D819" s="7" t="inlineStr">
        <is>
          <t>c</t>
        </is>
      </c>
      <c r="E819" s="7" t="n">
        <v>1</v>
      </c>
      <c r="F819" s="7" t="n">
        <v>2</v>
      </c>
      <c r="G819" s="8" t="n"/>
      <c r="H819" s="27" t="n"/>
      <c r="I819" s="27" t="n"/>
      <c r="J819" s="8" t="n"/>
      <c r="K819" s="8" t="n"/>
      <c r="L819" s="10" t="n"/>
      <c r="M819" s="8" t="n"/>
      <c r="N819" s="11">
        <f>IF(OR(J819="",H819="",I819=""),"",J819/((I819-H819)*1440))</f>
        <v/>
      </c>
      <c r="O819" s="7" t="n"/>
      <c r="P819" s="7" t="n"/>
      <c r="Q819" s="7" t="n"/>
      <c r="R819" s="12" t="n"/>
      <c r="S819" s="13">
        <f>IF(OR(R819="",J819=""),"",R819/J819-1)</f>
        <v/>
      </c>
      <c r="T819" s="14">
        <f>IF(OR(L819="",R819="",J819=""),"",SQRT(4+(L819^2-4)*(R819/J819)^2))</f>
        <v/>
      </c>
      <c r="U819" s="7" t="n"/>
      <c r="V819" s="7" t="n"/>
    </row>
    <row r="820">
      <c r="A820" s="7" t="inlineStr">
        <is>
          <t>c-11/4-1-i3</t>
        </is>
      </c>
      <c r="B820" s="7" t="inlineStr">
        <is>
          <t>1 1/4</t>
        </is>
      </c>
      <c r="C820" s="7" t="inlineStr">
        <is>
          <t>c</t>
        </is>
      </c>
      <c r="D820" s="7" t="inlineStr">
        <is>
          <t>c</t>
        </is>
      </c>
      <c r="E820" s="7" t="n">
        <v>1</v>
      </c>
      <c r="F820" s="7" t="n">
        <v>3</v>
      </c>
      <c r="G820" s="8" t="n"/>
      <c r="H820" s="27" t="n"/>
      <c r="I820" s="27" t="n"/>
      <c r="J820" s="8" t="n"/>
      <c r="K820" s="8" t="n"/>
      <c r="L820" s="10" t="n"/>
      <c r="M820" s="8" t="n"/>
      <c r="N820" s="11">
        <f>IF(OR(J820="",H820="",I820=""),"",J820/((I820-H820)*1440))</f>
        <v/>
      </c>
      <c r="O820" s="7" t="n"/>
      <c r="P820" s="7" t="n"/>
      <c r="Q820" s="7" t="n"/>
      <c r="R820" s="12" t="n"/>
      <c r="S820" s="13">
        <f>IF(OR(R820="",J820=""),"",R820/J820-1)</f>
        <v/>
      </c>
      <c r="T820" s="14">
        <f>IF(OR(L820="",R820="",J820=""),"",SQRT(4+(L820^2-4)*(R820/J820)^2))</f>
        <v/>
      </c>
      <c r="U820" s="7" t="n"/>
      <c r="V820" s="7" t="n"/>
    </row>
    <row r="821">
      <c r="A821" s="7" t="inlineStr">
        <is>
          <t>c-11/4-3-i1</t>
        </is>
      </c>
      <c r="B821" s="7" t="inlineStr">
        <is>
          <t>1 1/4</t>
        </is>
      </c>
      <c r="C821" s="7" t="inlineStr">
        <is>
          <t>c</t>
        </is>
      </c>
      <c r="D821" s="7" t="inlineStr">
        <is>
          <t>c</t>
        </is>
      </c>
      <c r="E821" s="7" t="n">
        <v>3</v>
      </c>
      <c r="F821" s="7" t="n">
        <v>1</v>
      </c>
      <c r="G821" s="8" t="n"/>
      <c r="H821" s="27" t="n"/>
      <c r="I821" s="27" t="n"/>
      <c r="J821" s="8" t="n"/>
      <c r="K821" s="8" t="n"/>
      <c r="L821" s="10" t="n"/>
      <c r="M821" s="8" t="n"/>
      <c r="N821" s="11">
        <f>IF(OR(J821="",H821="",I821=""),"",J821/((I821-H821)*1440))</f>
        <v/>
      </c>
      <c r="O821" s="7" t="n"/>
      <c r="P821" s="7" t="n"/>
      <c r="Q821" s="7" t="n"/>
      <c r="R821" s="12" t="n"/>
      <c r="S821" s="13">
        <f>IF(OR(R821="",J821=""),"",R821/J821-1)</f>
        <v/>
      </c>
      <c r="T821" s="14">
        <f>IF(OR(L821="",R821="",J821=""),"",SQRT(4+(L821^2-4)*(R821/J821)^2))</f>
        <v/>
      </c>
      <c r="U821" s="7" t="n"/>
      <c r="V821" s="7" t="n"/>
    </row>
    <row r="822">
      <c r="A822" s="7" t="inlineStr">
        <is>
          <t>c-11/4-3-i2</t>
        </is>
      </c>
      <c r="B822" s="7" t="inlineStr">
        <is>
          <t>1 1/4</t>
        </is>
      </c>
      <c r="C822" s="7" t="inlineStr">
        <is>
          <t>c</t>
        </is>
      </c>
      <c r="D822" s="7" t="inlineStr">
        <is>
          <t>c</t>
        </is>
      </c>
      <c r="E822" s="7" t="n">
        <v>3</v>
      </c>
      <c r="F822" s="7" t="n">
        <v>2</v>
      </c>
      <c r="G822" s="8" t="n"/>
      <c r="H822" s="27" t="n"/>
      <c r="I822" s="27" t="n"/>
      <c r="J822" s="8" t="n"/>
      <c r="K822" s="8" t="n"/>
      <c r="L822" s="10" t="n"/>
      <c r="M822" s="8" t="n"/>
      <c r="N822" s="11">
        <f>IF(OR(J822="",H822="",I822=""),"",J822/((I822-H822)*1440))</f>
        <v/>
      </c>
      <c r="O822" s="7" t="n"/>
      <c r="P822" s="7" t="n"/>
      <c r="Q822" s="7" t="n"/>
      <c r="R822" s="12" t="n"/>
      <c r="S822" s="13">
        <f>IF(OR(R822="",J822=""),"",R822/J822-1)</f>
        <v/>
      </c>
      <c r="T822" s="14">
        <f>IF(OR(L822="",R822="",J822=""),"",SQRT(4+(L822^2-4)*(R822/J822)^2))</f>
        <v/>
      </c>
      <c r="U822" s="7" t="n"/>
      <c r="V822" s="7" t="n"/>
    </row>
    <row r="823">
      <c r="A823" s="7" t="inlineStr">
        <is>
          <t>c-11/4-3-i3</t>
        </is>
      </c>
      <c r="B823" s="7" t="inlineStr">
        <is>
          <t>1 1/4</t>
        </is>
      </c>
      <c r="C823" s="7" t="inlineStr">
        <is>
          <t>c</t>
        </is>
      </c>
      <c r="D823" s="7" t="inlineStr">
        <is>
          <t>c</t>
        </is>
      </c>
      <c r="E823" s="7" t="n">
        <v>3</v>
      </c>
      <c r="F823" s="7" t="n">
        <v>3</v>
      </c>
      <c r="G823" s="8" t="n"/>
      <c r="H823" s="27" t="n"/>
      <c r="I823" s="27" t="n"/>
      <c r="J823" s="8" t="n"/>
      <c r="K823" s="8" t="n"/>
      <c r="L823" s="10" t="n"/>
      <c r="M823" s="8" t="n"/>
      <c r="N823" s="11">
        <f>IF(OR(J823="",H823="",I823=""),"",J823/((I823-H823)*1440))</f>
        <v/>
      </c>
      <c r="O823" s="7" t="n"/>
      <c r="P823" s="7" t="n"/>
      <c r="Q823" s="7" t="n"/>
      <c r="R823" s="12" t="n"/>
      <c r="S823" s="13">
        <f>IF(OR(R823="",J823=""),"",R823/J823-1)</f>
        <v/>
      </c>
      <c r="T823" s="14">
        <f>IF(OR(L823="",R823="",J823=""),"",SQRT(4+(L823^2-4)*(R823/J823)^2))</f>
        <v/>
      </c>
      <c r="U823" s="7" t="n"/>
      <c r="V823" s="7" t="n"/>
    </row>
    <row r="824">
      <c r="A824" s="7" t="inlineStr">
        <is>
          <t>c-11/4-5-i1</t>
        </is>
      </c>
      <c r="B824" s="7" t="inlineStr">
        <is>
          <t>1 1/4</t>
        </is>
      </c>
      <c r="C824" s="7" t="inlineStr">
        <is>
          <t>c</t>
        </is>
      </c>
      <c r="D824" s="7" t="inlineStr">
        <is>
          <t>c</t>
        </is>
      </c>
      <c r="E824" s="7" t="n">
        <v>5</v>
      </c>
      <c r="F824" s="7" t="n">
        <v>1</v>
      </c>
      <c r="G824" s="8" t="n"/>
      <c r="H824" s="27" t="n"/>
      <c r="I824" s="27" t="n"/>
      <c r="J824" s="8" t="n"/>
      <c r="K824" s="8" t="n"/>
      <c r="L824" s="10" t="n"/>
      <c r="M824" s="8" t="n"/>
      <c r="N824" s="11">
        <f>IF(OR(J824="",H824="",I824=""),"",J824/((I824-H824)*1440))</f>
        <v/>
      </c>
      <c r="O824" s="7" t="n"/>
      <c r="P824" s="7" t="n"/>
      <c r="Q824" s="7" t="n"/>
      <c r="R824" s="12" t="n"/>
      <c r="S824" s="13">
        <f>IF(OR(R824="",J824=""),"",R824/J824-1)</f>
        <v/>
      </c>
      <c r="T824" s="14">
        <f>IF(OR(L824="",R824="",J824=""),"",SQRT(4+(L824^2-4)*(R824/J824)^2))</f>
        <v/>
      </c>
      <c r="U824" s="7" t="n"/>
      <c r="V824" s="7" t="n"/>
    </row>
    <row r="825">
      <c r="A825" s="7" t="inlineStr">
        <is>
          <t>c-11/4-5-i2</t>
        </is>
      </c>
      <c r="B825" s="7" t="inlineStr">
        <is>
          <t>1 1/4</t>
        </is>
      </c>
      <c r="C825" s="7" t="inlineStr">
        <is>
          <t>c</t>
        </is>
      </c>
      <c r="D825" s="7" t="inlineStr">
        <is>
          <t>c</t>
        </is>
      </c>
      <c r="E825" s="7" t="n">
        <v>5</v>
      </c>
      <c r="F825" s="7" t="n">
        <v>2</v>
      </c>
      <c r="G825" s="8" t="n"/>
      <c r="H825" s="27" t="n"/>
      <c r="I825" s="27" t="n"/>
      <c r="J825" s="8" t="n"/>
      <c r="K825" s="8" t="n"/>
      <c r="L825" s="10" t="n"/>
      <c r="M825" s="8" t="n"/>
      <c r="N825" s="11">
        <f>IF(OR(J825="",H825="",I825=""),"",J825/((I825-H825)*1440))</f>
        <v/>
      </c>
      <c r="O825" s="7" t="n"/>
      <c r="P825" s="7" t="n"/>
      <c r="Q825" s="7" t="n"/>
      <c r="R825" s="12" t="n"/>
      <c r="S825" s="13">
        <f>IF(OR(R825="",J825=""),"",R825/J825-1)</f>
        <v/>
      </c>
      <c r="T825" s="14">
        <f>IF(OR(L825="",R825="",J825=""),"",SQRT(4+(L825^2-4)*(R825/J825)^2))</f>
        <v/>
      </c>
      <c r="U825" s="7" t="n"/>
      <c r="V825" s="7" t="n"/>
    </row>
    <row r="826">
      <c r="A826" s="7" t="inlineStr">
        <is>
          <t>c-11/4-5-i3</t>
        </is>
      </c>
      <c r="B826" s="7" t="inlineStr">
        <is>
          <t>1 1/4</t>
        </is>
      </c>
      <c r="C826" s="7" t="inlineStr">
        <is>
          <t>c</t>
        </is>
      </c>
      <c r="D826" s="7" t="inlineStr">
        <is>
          <t>c</t>
        </is>
      </c>
      <c r="E826" s="7" t="n">
        <v>5</v>
      </c>
      <c r="F826" s="7" t="n">
        <v>3</v>
      </c>
      <c r="G826" s="8" t="n"/>
      <c r="H826" s="27" t="n"/>
      <c r="I826" s="27" t="n"/>
      <c r="J826" s="8" t="n"/>
      <c r="K826" s="8" t="n"/>
      <c r="L826" s="10" t="n"/>
      <c r="M826" s="8" t="n"/>
      <c r="N826" s="11">
        <f>IF(OR(J826="",H826="",I826=""),"",J826/((I826-H826)*1440))</f>
        <v/>
      </c>
      <c r="O826" s="7" t="n"/>
      <c r="P826" s="7" t="n"/>
      <c r="Q826" s="7" t="n"/>
      <c r="R826" s="12" t="n"/>
      <c r="S826" s="13">
        <f>IF(OR(R826="",J826=""),"",R826/J826-1)</f>
        <v/>
      </c>
      <c r="T826" s="14">
        <f>IF(OR(L826="",R826="",J826=""),"",SQRT(4+(L826^2-4)*(R826/J826)^2))</f>
        <v/>
      </c>
      <c r="U826" s="7" t="n"/>
      <c r="V826" s="7" t="n"/>
    </row>
    <row r="827">
      <c r="A827" s="7" t="inlineStr">
        <is>
          <t>c-11/4-10-i1</t>
        </is>
      </c>
      <c r="B827" s="7" t="inlineStr">
        <is>
          <t>1 1/4</t>
        </is>
      </c>
      <c r="C827" s="7" t="inlineStr">
        <is>
          <t>c</t>
        </is>
      </c>
      <c r="D827" s="7" t="inlineStr">
        <is>
          <t>c</t>
        </is>
      </c>
      <c r="E827" s="7" t="n">
        <v>10</v>
      </c>
      <c r="F827" s="7" t="n">
        <v>1</v>
      </c>
      <c r="G827" s="8" t="n"/>
      <c r="H827" s="27" t="n"/>
      <c r="I827" s="27" t="n"/>
      <c r="J827" s="8" t="n"/>
      <c r="K827" s="8" t="n"/>
      <c r="L827" s="10" t="n"/>
      <c r="M827" s="8" t="n"/>
      <c r="N827" s="11">
        <f>IF(OR(J827="",H827="",I827=""),"",J827/((I827-H827)*1440))</f>
        <v/>
      </c>
      <c r="O827" s="7" t="n"/>
      <c r="P827" s="7" t="n"/>
      <c r="Q827" s="7" t="n"/>
      <c r="R827" s="12" t="n"/>
      <c r="S827" s="13">
        <f>IF(OR(R827="",J827=""),"",R827/J827-1)</f>
        <v/>
      </c>
      <c r="T827" s="14">
        <f>IF(OR(L827="",R827="",J827=""),"",SQRT(4+(L827^2-4)*(R827/J827)^2))</f>
        <v/>
      </c>
      <c r="U827" s="7" t="n"/>
      <c r="V827" s="7" t="n"/>
    </row>
    <row r="828">
      <c r="A828" s="7" t="inlineStr">
        <is>
          <t>c-11/4-10-i2</t>
        </is>
      </c>
      <c r="B828" s="7" t="inlineStr">
        <is>
          <t>1 1/4</t>
        </is>
      </c>
      <c r="C828" s="7" t="inlineStr">
        <is>
          <t>c</t>
        </is>
      </c>
      <c r="D828" s="7" t="inlineStr">
        <is>
          <t>c</t>
        </is>
      </c>
      <c r="E828" s="7" t="n">
        <v>10</v>
      </c>
      <c r="F828" s="7" t="n">
        <v>2</v>
      </c>
      <c r="G828" s="8" t="n"/>
      <c r="H828" s="27" t="n"/>
      <c r="I828" s="27" t="n"/>
      <c r="J828" s="8" t="n"/>
      <c r="K828" s="8" t="n"/>
      <c r="L828" s="10" t="n"/>
      <c r="M828" s="8" t="n"/>
      <c r="N828" s="11">
        <f>IF(OR(J828="",H828="",I828=""),"",J828/((I828-H828)*1440))</f>
        <v/>
      </c>
      <c r="O828" s="7" t="n"/>
      <c r="P828" s="7" t="n"/>
      <c r="Q828" s="7" t="n"/>
      <c r="R828" s="12" t="n"/>
      <c r="S828" s="13">
        <f>IF(OR(R828="",J828=""),"",R828/J828-1)</f>
        <v/>
      </c>
      <c r="T828" s="14">
        <f>IF(OR(L828="",R828="",J828=""),"",SQRT(4+(L828^2-4)*(R828/J828)^2))</f>
        <v/>
      </c>
      <c r="U828" s="7" t="n"/>
      <c r="V828" s="7" t="n"/>
    </row>
    <row r="829">
      <c r="A829" s="7" t="inlineStr">
        <is>
          <t>c-11/4-10-i3</t>
        </is>
      </c>
      <c r="B829" s="7" t="inlineStr">
        <is>
          <t>1 1/4</t>
        </is>
      </c>
      <c r="C829" s="7" t="inlineStr">
        <is>
          <t>c</t>
        </is>
      </c>
      <c r="D829" s="7" t="inlineStr">
        <is>
          <t>c</t>
        </is>
      </c>
      <c r="E829" s="7" t="n">
        <v>10</v>
      </c>
      <c r="F829" s="7" t="n">
        <v>3</v>
      </c>
      <c r="G829" s="8" t="n"/>
      <c r="H829" s="27" t="n"/>
      <c r="I829" s="27" t="n"/>
      <c r="J829" s="8" t="n"/>
      <c r="K829" s="8" t="n"/>
      <c r="L829" s="10" t="n"/>
      <c r="M829" s="8" t="n"/>
      <c r="N829" s="11">
        <f>IF(OR(J829="",H829="",I829=""),"",J829/((I829-H829)*1440))</f>
        <v/>
      </c>
      <c r="O829" s="7" t="n"/>
      <c r="P829" s="7" t="n"/>
      <c r="Q829" s="7" t="n"/>
      <c r="R829" s="12" t="n"/>
      <c r="S829" s="13">
        <f>IF(OR(R829="",J829=""),"",R829/J829-1)</f>
        <v/>
      </c>
      <c r="T829" s="14">
        <f>IF(OR(L829="",R829="",J829=""),"",SQRT(4+(L829^2-4)*(R829/J829)^2))</f>
        <v/>
      </c>
      <c r="U829" s="7" t="n"/>
      <c r="V829" s="7" t="n"/>
    </row>
    <row r="830">
      <c r="A830" s="7" t="inlineStr">
        <is>
          <t>K-11/2-0.5-i1</t>
        </is>
      </c>
      <c r="B830" s="7" t="inlineStr">
        <is>
          <t>1 1/2</t>
        </is>
      </c>
      <c r="C830" s="7" t="inlineStr">
        <is>
          <t>K</t>
        </is>
      </c>
      <c r="D830" s="7" t="inlineStr">
        <is>
          <t>Copper K</t>
        </is>
      </c>
      <c r="E830" s="7" t="n">
        <v>0.5</v>
      </c>
      <c r="F830" s="7" t="n">
        <v>1</v>
      </c>
      <c r="G830" s="8" t="n"/>
      <c r="H830" s="27" t="n"/>
      <c r="I830" s="27" t="n"/>
      <c r="J830" s="8" t="n"/>
      <c r="K830" s="8" t="n"/>
      <c r="L830" s="10" t="n"/>
      <c r="M830" s="8" t="n"/>
      <c r="N830" s="11">
        <f>IF(OR(J830="",H830="",I830=""),"",J830/((I830-H830)*1440))</f>
        <v/>
      </c>
      <c r="O830" s="7" t="n"/>
      <c r="P830" s="7" t="n"/>
      <c r="Q830" s="7" t="n"/>
      <c r="R830" s="12" t="n"/>
      <c r="S830" s="13">
        <f>IF(OR(R830="",J830=""),"",R830/J830-1)</f>
        <v/>
      </c>
      <c r="T830" s="14">
        <f>IF(OR(L830="",R830="",J830=""),"",SQRT(4+(L830^2-4)*(R830/J830)^2))</f>
        <v/>
      </c>
      <c r="U830" s="7" t="n"/>
      <c r="V830" s="7" t="n"/>
    </row>
    <row r="831">
      <c r="A831" s="7" t="inlineStr">
        <is>
          <t>K-11/2-0.5-i2</t>
        </is>
      </c>
      <c r="B831" s="7" t="inlineStr">
        <is>
          <t>1 1/2</t>
        </is>
      </c>
      <c r="C831" s="7" t="inlineStr">
        <is>
          <t>K</t>
        </is>
      </c>
      <c r="D831" s="7" t="inlineStr">
        <is>
          <t>Copper K</t>
        </is>
      </c>
      <c r="E831" s="7" t="n">
        <v>0.5</v>
      </c>
      <c r="F831" s="7" t="n">
        <v>2</v>
      </c>
      <c r="G831" s="8" t="n"/>
      <c r="H831" s="27" t="n"/>
      <c r="I831" s="27" t="n"/>
      <c r="J831" s="8" t="n"/>
      <c r="K831" s="8" t="n"/>
      <c r="L831" s="10" t="n"/>
      <c r="M831" s="8" t="n"/>
      <c r="N831" s="11">
        <f>IF(OR(J831="",H831="",I831=""),"",J831/((I831-H831)*1440))</f>
        <v/>
      </c>
      <c r="O831" s="7" t="n"/>
      <c r="P831" s="7" t="n"/>
      <c r="Q831" s="7" t="n"/>
      <c r="R831" s="12" t="n"/>
      <c r="S831" s="13">
        <f>IF(OR(R831="",J831=""),"",R831/J831-1)</f>
        <v/>
      </c>
      <c r="T831" s="14">
        <f>IF(OR(L831="",R831="",J831=""),"",SQRT(4+(L831^2-4)*(R831/J831)^2))</f>
        <v/>
      </c>
      <c r="U831" s="7" t="n"/>
      <c r="V831" s="7" t="n"/>
    </row>
    <row r="832">
      <c r="A832" s="7" t="inlineStr">
        <is>
          <t>K-11/2-0.5-i3</t>
        </is>
      </c>
      <c r="B832" s="7" t="inlineStr">
        <is>
          <t>1 1/2</t>
        </is>
      </c>
      <c r="C832" s="7" t="inlineStr">
        <is>
          <t>K</t>
        </is>
      </c>
      <c r="D832" s="7" t="inlineStr">
        <is>
          <t>Copper K</t>
        </is>
      </c>
      <c r="E832" s="7" t="n">
        <v>0.5</v>
      </c>
      <c r="F832" s="7" t="n">
        <v>3</v>
      </c>
      <c r="G832" s="8" t="n"/>
      <c r="H832" s="27" t="n"/>
      <c r="I832" s="27" t="n"/>
      <c r="J832" s="8" t="n"/>
      <c r="K832" s="8" t="n"/>
      <c r="L832" s="10" t="n"/>
      <c r="M832" s="8" t="n"/>
      <c r="N832" s="11">
        <f>IF(OR(J832="",H832="",I832=""),"",J832/((I832-H832)*1440))</f>
        <v/>
      </c>
      <c r="O832" s="7" t="n"/>
      <c r="P832" s="7" t="n"/>
      <c r="Q832" s="7" t="n"/>
      <c r="R832" s="12" t="n"/>
      <c r="S832" s="13">
        <f>IF(OR(R832="",J832=""),"",R832/J832-1)</f>
        <v/>
      </c>
      <c r="T832" s="14">
        <f>IF(OR(L832="",R832="",J832=""),"",SQRT(4+(L832^2-4)*(R832/J832)^2))</f>
        <v/>
      </c>
      <c r="U832" s="7" t="n"/>
      <c r="V832" s="7" t="n"/>
    </row>
    <row r="833">
      <c r="A833" s="7" t="inlineStr">
        <is>
          <t>K-11/2-1-i1</t>
        </is>
      </c>
      <c r="B833" s="7" t="inlineStr">
        <is>
          <t>1 1/2</t>
        </is>
      </c>
      <c r="C833" s="7" t="inlineStr">
        <is>
          <t>K</t>
        </is>
      </c>
      <c r="D833" s="7" t="inlineStr">
        <is>
          <t>Copper K</t>
        </is>
      </c>
      <c r="E833" s="7" t="n">
        <v>1</v>
      </c>
      <c r="F833" s="7" t="n">
        <v>1</v>
      </c>
      <c r="G833" s="8" t="n"/>
      <c r="H833" s="27" t="n"/>
      <c r="I833" s="27" t="n"/>
      <c r="J833" s="8" t="n"/>
      <c r="K833" s="8" t="n"/>
      <c r="L833" s="10" t="n"/>
      <c r="M833" s="8" t="n"/>
      <c r="N833" s="11">
        <f>IF(OR(J833="",H833="",I833=""),"",J833/((I833-H833)*1440))</f>
        <v/>
      </c>
      <c r="O833" s="7" t="n"/>
      <c r="P833" s="7" t="n"/>
      <c r="Q833" s="7" t="n"/>
      <c r="R833" s="12" t="n"/>
      <c r="S833" s="13">
        <f>IF(OR(R833="",J833=""),"",R833/J833-1)</f>
        <v/>
      </c>
      <c r="T833" s="14">
        <f>IF(OR(L833="",R833="",J833=""),"",SQRT(4+(L833^2-4)*(R833/J833)^2))</f>
        <v/>
      </c>
      <c r="U833" s="7" t="n"/>
      <c r="V833" s="7" t="n"/>
    </row>
    <row r="834">
      <c r="A834" s="7" t="inlineStr">
        <is>
          <t>K-11/2-1-i2</t>
        </is>
      </c>
      <c r="B834" s="7" t="inlineStr">
        <is>
          <t>1 1/2</t>
        </is>
      </c>
      <c r="C834" s="7" t="inlineStr">
        <is>
          <t>K</t>
        </is>
      </c>
      <c r="D834" s="7" t="inlineStr">
        <is>
          <t>Copper K</t>
        </is>
      </c>
      <c r="E834" s="7" t="n">
        <v>1</v>
      </c>
      <c r="F834" s="7" t="n">
        <v>2</v>
      </c>
      <c r="G834" s="8" t="n"/>
      <c r="H834" s="27" t="n"/>
      <c r="I834" s="27" t="n"/>
      <c r="J834" s="8" t="n"/>
      <c r="K834" s="8" t="n"/>
      <c r="L834" s="10" t="n"/>
      <c r="M834" s="8" t="n"/>
      <c r="N834" s="11">
        <f>IF(OR(J834="",H834="",I834=""),"",J834/((I834-H834)*1440))</f>
        <v/>
      </c>
      <c r="O834" s="7" t="n"/>
      <c r="P834" s="7" t="n"/>
      <c r="Q834" s="7" t="n"/>
      <c r="R834" s="12" t="n"/>
      <c r="S834" s="13">
        <f>IF(OR(R834="",J834=""),"",R834/J834-1)</f>
        <v/>
      </c>
      <c r="T834" s="14">
        <f>IF(OR(L834="",R834="",J834=""),"",SQRT(4+(L834^2-4)*(R834/J834)^2))</f>
        <v/>
      </c>
      <c r="U834" s="7" t="n"/>
      <c r="V834" s="7" t="n"/>
    </row>
    <row r="835">
      <c r="A835" s="7" t="inlineStr">
        <is>
          <t>K-11/2-1-i3</t>
        </is>
      </c>
      <c r="B835" s="7" t="inlineStr">
        <is>
          <t>1 1/2</t>
        </is>
      </c>
      <c r="C835" s="7" t="inlineStr">
        <is>
          <t>K</t>
        </is>
      </c>
      <c r="D835" s="7" t="inlineStr">
        <is>
          <t>Copper K</t>
        </is>
      </c>
      <c r="E835" s="7" t="n">
        <v>1</v>
      </c>
      <c r="F835" s="7" t="n">
        <v>3</v>
      </c>
      <c r="G835" s="8" t="n"/>
      <c r="H835" s="27" t="n"/>
      <c r="I835" s="27" t="n"/>
      <c r="J835" s="8" t="n"/>
      <c r="K835" s="8" t="n"/>
      <c r="L835" s="10" t="n"/>
      <c r="M835" s="8" t="n"/>
      <c r="N835" s="11">
        <f>IF(OR(J835="",H835="",I835=""),"",J835/((I835-H835)*1440))</f>
        <v/>
      </c>
      <c r="O835" s="7" t="n"/>
      <c r="P835" s="7" t="n"/>
      <c r="Q835" s="7" t="n"/>
      <c r="R835" s="12" t="n"/>
      <c r="S835" s="13">
        <f>IF(OR(R835="",J835=""),"",R835/J835-1)</f>
        <v/>
      </c>
      <c r="T835" s="14">
        <f>IF(OR(L835="",R835="",J835=""),"",SQRT(4+(L835^2-4)*(R835/J835)^2))</f>
        <v/>
      </c>
      <c r="U835" s="7" t="n"/>
      <c r="V835" s="7" t="n"/>
    </row>
    <row r="836">
      <c r="A836" s="7" t="inlineStr">
        <is>
          <t>K-11/2-3-i1</t>
        </is>
      </c>
      <c r="B836" s="7" t="inlineStr">
        <is>
          <t>1 1/2</t>
        </is>
      </c>
      <c r="C836" s="7" t="inlineStr">
        <is>
          <t>K</t>
        </is>
      </c>
      <c r="D836" s="7" t="inlineStr">
        <is>
          <t>Copper K</t>
        </is>
      </c>
      <c r="E836" s="7" t="n">
        <v>3</v>
      </c>
      <c r="F836" s="7" t="n">
        <v>1</v>
      </c>
      <c r="G836" s="8" t="n"/>
      <c r="H836" s="27" t="n"/>
      <c r="I836" s="27" t="n"/>
      <c r="J836" s="8" t="n"/>
      <c r="K836" s="8" t="n"/>
      <c r="L836" s="10" t="n"/>
      <c r="M836" s="8" t="n"/>
      <c r="N836" s="11">
        <f>IF(OR(J836="",H836="",I836=""),"",J836/((I836-H836)*1440))</f>
        <v/>
      </c>
      <c r="O836" s="7" t="n"/>
      <c r="P836" s="7" t="n"/>
      <c r="Q836" s="7" t="n"/>
      <c r="R836" s="12" t="n"/>
      <c r="S836" s="13">
        <f>IF(OR(R836="",J836=""),"",R836/J836-1)</f>
        <v/>
      </c>
      <c r="T836" s="14">
        <f>IF(OR(L836="",R836="",J836=""),"",SQRT(4+(L836^2-4)*(R836/J836)^2))</f>
        <v/>
      </c>
      <c r="U836" s="7" t="n"/>
      <c r="V836" s="7" t="n"/>
    </row>
    <row r="837">
      <c r="A837" s="7" t="inlineStr">
        <is>
          <t>K-11/2-3-i2</t>
        </is>
      </c>
      <c r="B837" s="7" t="inlineStr">
        <is>
          <t>1 1/2</t>
        </is>
      </c>
      <c r="C837" s="7" t="inlineStr">
        <is>
          <t>K</t>
        </is>
      </c>
      <c r="D837" s="7" t="inlineStr">
        <is>
          <t>Copper K</t>
        </is>
      </c>
      <c r="E837" s="7" t="n">
        <v>3</v>
      </c>
      <c r="F837" s="7" t="n">
        <v>2</v>
      </c>
      <c r="G837" s="8" t="n"/>
      <c r="H837" s="27" t="n"/>
      <c r="I837" s="27" t="n"/>
      <c r="J837" s="8" t="n"/>
      <c r="K837" s="8" t="n"/>
      <c r="L837" s="10" t="n"/>
      <c r="M837" s="8" t="n"/>
      <c r="N837" s="11">
        <f>IF(OR(J837="",H837="",I837=""),"",J837/((I837-H837)*1440))</f>
        <v/>
      </c>
      <c r="O837" s="7" t="n"/>
      <c r="P837" s="7" t="n"/>
      <c r="Q837" s="7" t="n"/>
      <c r="R837" s="12" t="n"/>
      <c r="S837" s="13">
        <f>IF(OR(R837="",J837=""),"",R837/J837-1)</f>
        <v/>
      </c>
      <c r="T837" s="14">
        <f>IF(OR(L837="",R837="",J837=""),"",SQRT(4+(L837^2-4)*(R837/J837)^2))</f>
        <v/>
      </c>
      <c r="U837" s="7" t="n"/>
      <c r="V837" s="7" t="n"/>
    </row>
    <row r="838">
      <c r="A838" s="7" t="inlineStr">
        <is>
          <t>K-11/2-3-i3</t>
        </is>
      </c>
      <c r="B838" s="7" t="inlineStr">
        <is>
          <t>1 1/2</t>
        </is>
      </c>
      <c r="C838" s="7" t="inlineStr">
        <is>
          <t>K</t>
        </is>
      </c>
      <c r="D838" s="7" t="inlineStr">
        <is>
          <t>Copper K</t>
        </is>
      </c>
      <c r="E838" s="7" t="n">
        <v>3</v>
      </c>
      <c r="F838" s="7" t="n">
        <v>3</v>
      </c>
      <c r="G838" s="8" t="n"/>
      <c r="H838" s="27" t="n"/>
      <c r="I838" s="27" t="n"/>
      <c r="J838" s="8" t="n"/>
      <c r="K838" s="8" t="n"/>
      <c r="L838" s="10" t="n"/>
      <c r="M838" s="8" t="n"/>
      <c r="N838" s="11">
        <f>IF(OR(J838="",H838="",I838=""),"",J838/((I838-H838)*1440))</f>
        <v/>
      </c>
      <c r="O838" s="7" t="n"/>
      <c r="P838" s="7" t="n"/>
      <c r="Q838" s="7" t="n"/>
      <c r="R838" s="12" t="n"/>
      <c r="S838" s="13">
        <f>IF(OR(R838="",J838=""),"",R838/J838-1)</f>
        <v/>
      </c>
      <c r="T838" s="14">
        <f>IF(OR(L838="",R838="",J838=""),"",SQRT(4+(L838^2-4)*(R838/J838)^2))</f>
        <v/>
      </c>
      <c r="U838" s="7" t="n"/>
      <c r="V838" s="7" t="n"/>
    </row>
    <row r="839">
      <c r="A839" s="7" t="inlineStr">
        <is>
          <t>K-11/2-5-i1</t>
        </is>
      </c>
      <c r="B839" s="7" t="inlineStr">
        <is>
          <t>1 1/2</t>
        </is>
      </c>
      <c r="C839" s="7" t="inlineStr">
        <is>
          <t>K</t>
        </is>
      </c>
      <c r="D839" s="7" t="inlineStr">
        <is>
          <t>Copper K</t>
        </is>
      </c>
      <c r="E839" s="7" t="n">
        <v>5</v>
      </c>
      <c r="F839" s="7" t="n">
        <v>1</v>
      </c>
      <c r="G839" s="8" t="n"/>
      <c r="H839" s="27" t="n"/>
      <c r="I839" s="27" t="n"/>
      <c r="J839" s="8" t="n"/>
      <c r="K839" s="8" t="n"/>
      <c r="L839" s="10" t="n"/>
      <c r="M839" s="8" t="n"/>
      <c r="N839" s="11">
        <f>IF(OR(J839="",H839="",I839=""),"",J839/((I839-H839)*1440))</f>
        <v/>
      </c>
      <c r="O839" s="7" t="n"/>
      <c r="P839" s="7" t="n"/>
      <c r="Q839" s="7" t="n"/>
      <c r="R839" s="12" t="n"/>
      <c r="S839" s="13">
        <f>IF(OR(R839="",J839=""),"",R839/J839-1)</f>
        <v/>
      </c>
      <c r="T839" s="14">
        <f>IF(OR(L839="",R839="",J839=""),"",SQRT(4+(L839^2-4)*(R839/J839)^2))</f>
        <v/>
      </c>
      <c r="U839" s="7" t="n"/>
      <c r="V839" s="7" t="n"/>
    </row>
    <row r="840">
      <c r="A840" s="7" t="inlineStr">
        <is>
          <t>K-11/2-5-i2</t>
        </is>
      </c>
      <c r="B840" s="7" t="inlineStr">
        <is>
          <t>1 1/2</t>
        </is>
      </c>
      <c r="C840" s="7" t="inlineStr">
        <is>
          <t>K</t>
        </is>
      </c>
      <c r="D840" s="7" t="inlineStr">
        <is>
          <t>Copper K</t>
        </is>
      </c>
      <c r="E840" s="7" t="n">
        <v>5</v>
      </c>
      <c r="F840" s="7" t="n">
        <v>2</v>
      </c>
      <c r="G840" s="8" t="n"/>
      <c r="H840" s="27" t="n"/>
      <c r="I840" s="27" t="n"/>
      <c r="J840" s="8" t="n"/>
      <c r="K840" s="8" t="n"/>
      <c r="L840" s="10" t="n"/>
      <c r="M840" s="8" t="n"/>
      <c r="N840" s="11">
        <f>IF(OR(J840="",H840="",I840=""),"",J840/((I840-H840)*1440))</f>
        <v/>
      </c>
      <c r="O840" s="7" t="n"/>
      <c r="P840" s="7" t="n"/>
      <c r="Q840" s="7" t="n"/>
      <c r="R840" s="12" t="n"/>
      <c r="S840" s="13">
        <f>IF(OR(R840="",J840=""),"",R840/J840-1)</f>
        <v/>
      </c>
      <c r="T840" s="14">
        <f>IF(OR(L840="",R840="",J840=""),"",SQRT(4+(L840^2-4)*(R840/J840)^2))</f>
        <v/>
      </c>
      <c r="U840" s="7" t="n"/>
      <c r="V840" s="7" t="n"/>
    </row>
    <row r="841">
      <c r="A841" s="7" t="inlineStr">
        <is>
          <t>K-11/2-5-i3</t>
        </is>
      </c>
      <c r="B841" s="7" t="inlineStr">
        <is>
          <t>1 1/2</t>
        </is>
      </c>
      <c r="C841" s="7" t="inlineStr">
        <is>
          <t>K</t>
        </is>
      </c>
      <c r="D841" s="7" t="inlineStr">
        <is>
          <t>Copper K</t>
        </is>
      </c>
      <c r="E841" s="7" t="n">
        <v>5</v>
      </c>
      <c r="F841" s="7" t="n">
        <v>3</v>
      </c>
      <c r="G841" s="8" t="n"/>
      <c r="H841" s="27" t="n"/>
      <c r="I841" s="27" t="n"/>
      <c r="J841" s="8" t="n"/>
      <c r="K841" s="8" t="n"/>
      <c r="L841" s="10" t="n"/>
      <c r="M841" s="8" t="n"/>
      <c r="N841" s="11">
        <f>IF(OR(J841="",H841="",I841=""),"",J841/((I841-H841)*1440))</f>
        <v/>
      </c>
      <c r="O841" s="7" t="n"/>
      <c r="P841" s="7" t="n"/>
      <c r="Q841" s="7" t="n"/>
      <c r="R841" s="12" t="n"/>
      <c r="S841" s="13">
        <f>IF(OR(R841="",J841=""),"",R841/J841-1)</f>
        <v/>
      </c>
      <c r="T841" s="14">
        <f>IF(OR(L841="",R841="",J841=""),"",SQRT(4+(L841^2-4)*(R841/J841)^2))</f>
        <v/>
      </c>
      <c r="U841" s="7" t="n"/>
      <c r="V841" s="7" t="n"/>
    </row>
    <row r="842">
      <c r="A842" s="7" t="inlineStr">
        <is>
          <t>K-11/2-10-i1</t>
        </is>
      </c>
      <c r="B842" s="7" t="inlineStr">
        <is>
          <t>1 1/2</t>
        </is>
      </c>
      <c r="C842" s="7" t="inlineStr">
        <is>
          <t>K</t>
        </is>
      </c>
      <c r="D842" s="7" t="inlineStr">
        <is>
          <t>Copper K</t>
        </is>
      </c>
      <c r="E842" s="7" t="n">
        <v>10</v>
      </c>
      <c r="F842" s="7" t="n">
        <v>1</v>
      </c>
      <c r="G842" s="8" t="n"/>
      <c r="H842" s="27" t="n"/>
      <c r="I842" s="27" t="n"/>
      <c r="J842" s="8" t="n"/>
      <c r="K842" s="8" t="n"/>
      <c r="L842" s="10" t="n"/>
      <c r="M842" s="8" t="n"/>
      <c r="N842" s="11">
        <f>IF(OR(J842="",H842="",I842=""),"",J842/((I842-H842)*1440))</f>
        <v/>
      </c>
      <c r="O842" s="7" t="n"/>
      <c r="P842" s="7" t="n"/>
      <c r="Q842" s="7" t="n"/>
      <c r="R842" s="12" t="n"/>
      <c r="S842" s="13">
        <f>IF(OR(R842="",J842=""),"",R842/J842-1)</f>
        <v/>
      </c>
      <c r="T842" s="14">
        <f>IF(OR(L842="",R842="",J842=""),"",SQRT(4+(L842^2-4)*(R842/J842)^2))</f>
        <v/>
      </c>
      <c r="U842" s="7" t="n"/>
      <c r="V842" s="7" t="n"/>
    </row>
    <row r="843">
      <c r="A843" s="7" t="inlineStr">
        <is>
          <t>K-11/2-10-i2</t>
        </is>
      </c>
      <c r="B843" s="7" t="inlineStr">
        <is>
          <t>1 1/2</t>
        </is>
      </c>
      <c r="C843" s="7" t="inlineStr">
        <is>
          <t>K</t>
        </is>
      </c>
      <c r="D843" s="7" t="inlineStr">
        <is>
          <t>Copper K</t>
        </is>
      </c>
      <c r="E843" s="7" t="n">
        <v>10</v>
      </c>
      <c r="F843" s="7" t="n">
        <v>2</v>
      </c>
      <c r="G843" s="8" t="n"/>
      <c r="H843" s="27" t="n"/>
      <c r="I843" s="27" t="n"/>
      <c r="J843" s="8" t="n"/>
      <c r="K843" s="8" t="n"/>
      <c r="L843" s="10" t="n"/>
      <c r="M843" s="8" t="n"/>
      <c r="N843" s="11">
        <f>IF(OR(J843="",H843="",I843=""),"",J843/((I843-H843)*1440))</f>
        <v/>
      </c>
      <c r="O843" s="7" t="n"/>
      <c r="P843" s="7" t="n"/>
      <c r="Q843" s="7" t="n"/>
      <c r="R843" s="12" t="n"/>
      <c r="S843" s="13">
        <f>IF(OR(R843="",J843=""),"",R843/J843-1)</f>
        <v/>
      </c>
      <c r="T843" s="14">
        <f>IF(OR(L843="",R843="",J843=""),"",SQRT(4+(L843^2-4)*(R843/J843)^2))</f>
        <v/>
      </c>
      <c r="U843" s="7" t="n"/>
      <c r="V843" s="7" t="n"/>
    </row>
    <row r="844">
      <c r="A844" s="7" t="inlineStr">
        <is>
          <t>K-11/2-10-i3</t>
        </is>
      </c>
      <c r="B844" s="7" t="inlineStr">
        <is>
          <t>1 1/2</t>
        </is>
      </c>
      <c r="C844" s="7" t="inlineStr">
        <is>
          <t>K</t>
        </is>
      </c>
      <c r="D844" s="7" t="inlineStr">
        <is>
          <t>Copper K</t>
        </is>
      </c>
      <c r="E844" s="7" t="n">
        <v>10</v>
      </c>
      <c r="F844" s="7" t="n">
        <v>3</v>
      </c>
      <c r="G844" s="8" t="n"/>
      <c r="H844" s="27" t="n"/>
      <c r="I844" s="27" t="n"/>
      <c r="J844" s="8" t="n"/>
      <c r="K844" s="8" t="n"/>
      <c r="L844" s="10" t="n"/>
      <c r="M844" s="8" t="n"/>
      <c r="N844" s="11">
        <f>IF(OR(J844="",H844="",I844=""),"",J844/((I844-H844)*1440))</f>
        <v/>
      </c>
      <c r="O844" s="7" t="n"/>
      <c r="P844" s="7" t="n"/>
      <c r="Q844" s="7" t="n"/>
      <c r="R844" s="12" t="n"/>
      <c r="S844" s="13">
        <f>IF(OR(R844="",J844=""),"",R844/J844-1)</f>
        <v/>
      </c>
      <c r="T844" s="14">
        <f>IF(OR(L844="",R844="",J844=""),"",SQRT(4+(L844^2-4)*(R844/J844)^2))</f>
        <v/>
      </c>
      <c r="U844" s="7" t="n"/>
      <c r="V844" s="7" t="n"/>
    </row>
    <row r="845">
      <c r="A845" s="7" t="inlineStr">
        <is>
          <t>L-11/2-0.5-i1</t>
        </is>
      </c>
      <c r="B845" s="7" t="inlineStr">
        <is>
          <t>1 1/2</t>
        </is>
      </c>
      <c r="C845" s="7" t="inlineStr">
        <is>
          <t>L</t>
        </is>
      </c>
      <c r="D845" s="7" t="inlineStr">
        <is>
          <t>Copper L</t>
        </is>
      </c>
      <c r="E845" s="7" t="n">
        <v>0.5</v>
      </c>
      <c r="F845" s="7" t="n">
        <v>1</v>
      </c>
      <c r="G845" s="8" t="n"/>
      <c r="H845" s="27" t="n"/>
      <c r="I845" s="27" t="n"/>
      <c r="J845" s="8" t="n"/>
      <c r="K845" s="8" t="n"/>
      <c r="L845" s="10" t="n"/>
      <c r="M845" s="8" t="n"/>
      <c r="N845" s="11">
        <f>IF(OR(J845="",H845="",I845=""),"",J845/((I845-H845)*1440))</f>
        <v/>
      </c>
      <c r="O845" s="7" t="n"/>
      <c r="P845" s="7" t="n"/>
      <c r="Q845" s="7" t="n"/>
      <c r="R845" s="12" t="n"/>
      <c r="S845" s="13">
        <f>IF(OR(R845="",J845=""),"",R845/J845-1)</f>
        <v/>
      </c>
      <c r="T845" s="14">
        <f>IF(OR(L845="",R845="",J845=""),"",SQRT(4+(L845^2-4)*(R845/J845)^2))</f>
        <v/>
      </c>
      <c r="U845" s="7" t="n"/>
      <c r="V845" s="7" t="n"/>
    </row>
    <row r="846">
      <c r="A846" s="7" t="inlineStr">
        <is>
          <t>L-11/2-0.5-i2</t>
        </is>
      </c>
      <c r="B846" s="7" t="inlineStr">
        <is>
          <t>1 1/2</t>
        </is>
      </c>
      <c r="C846" s="7" t="inlineStr">
        <is>
          <t>L</t>
        </is>
      </c>
      <c r="D846" s="7" t="inlineStr">
        <is>
          <t>Copper L</t>
        </is>
      </c>
      <c r="E846" s="7" t="n">
        <v>0.5</v>
      </c>
      <c r="F846" s="7" t="n">
        <v>2</v>
      </c>
      <c r="G846" s="8" t="n"/>
      <c r="H846" s="27" t="n"/>
      <c r="I846" s="27" t="n"/>
      <c r="J846" s="8" t="n"/>
      <c r="K846" s="8" t="n"/>
      <c r="L846" s="10" t="n"/>
      <c r="M846" s="8" t="n"/>
      <c r="N846" s="11">
        <f>IF(OR(J846="",H846="",I846=""),"",J846/((I846-H846)*1440))</f>
        <v/>
      </c>
      <c r="O846" s="7" t="n"/>
      <c r="P846" s="7" t="n"/>
      <c r="Q846" s="7" t="n"/>
      <c r="R846" s="12" t="n"/>
      <c r="S846" s="13">
        <f>IF(OR(R846="",J846=""),"",R846/J846-1)</f>
        <v/>
      </c>
      <c r="T846" s="14">
        <f>IF(OR(L846="",R846="",J846=""),"",SQRT(4+(L846^2-4)*(R846/J846)^2))</f>
        <v/>
      </c>
      <c r="U846" s="7" t="n"/>
      <c r="V846" s="7" t="n"/>
    </row>
    <row r="847">
      <c r="A847" s="7" t="inlineStr">
        <is>
          <t>L-11/2-0.5-i3</t>
        </is>
      </c>
      <c r="B847" s="7" t="inlineStr">
        <is>
          <t>1 1/2</t>
        </is>
      </c>
      <c r="C847" s="7" t="inlineStr">
        <is>
          <t>L</t>
        </is>
      </c>
      <c r="D847" s="7" t="inlineStr">
        <is>
          <t>Copper L</t>
        </is>
      </c>
      <c r="E847" s="7" t="n">
        <v>0.5</v>
      </c>
      <c r="F847" s="7" t="n">
        <v>3</v>
      </c>
      <c r="G847" s="8" t="n"/>
      <c r="H847" s="27" t="n"/>
      <c r="I847" s="27" t="n"/>
      <c r="J847" s="8" t="n"/>
      <c r="K847" s="8" t="n"/>
      <c r="L847" s="10" t="n"/>
      <c r="M847" s="8" t="n"/>
      <c r="N847" s="11">
        <f>IF(OR(J847="",H847="",I847=""),"",J847/((I847-H847)*1440))</f>
        <v/>
      </c>
      <c r="O847" s="7" t="n"/>
      <c r="P847" s="7" t="n"/>
      <c r="Q847" s="7" t="n"/>
      <c r="R847" s="12" t="n"/>
      <c r="S847" s="13">
        <f>IF(OR(R847="",J847=""),"",R847/J847-1)</f>
        <v/>
      </c>
      <c r="T847" s="14">
        <f>IF(OR(L847="",R847="",J847=""),"",SQRT(4+(L847^2-4)*(R847/J847)^2))</f>
        <v/>
      </c>
      <c r="U847" s="7" t="n"/>
      <c r="V847" s="7" t="n"/>
    </row>
    <row r="848">
      <c r="A848" s="7" t="inlineStr">
        <is>
          <t>L-11/2-1-i1</t>
        </is>
      </c>
      <c r="B848" s="7" t="inlineStr">
        <is>
          <t>1 1/2</t>
        </is>
      </c>
      <c r="C848" s="7" t="inlineStr">
        <is>
          <t>L</t>
        </is>
      </c>
      <c r="D848" s="7" t="inlineStr">
        <is>
          <t>Copper L</t>
        </is>
      </c>
      <c r="E848" s="7" t="n">
        <v>1</v>
      </c>
      <c r="F848" s="7" t="n">
        <v>1</v>
      </c>
      <c r="G848" s="8" t="n"/>
      <c r="H848" s="27" t="n"/>
      <c r="I848" s="27" t="n"/>
      <c r="J848" s="8" t="n"/>
      <c r="K848" s="8" t="n"/>
      <c r="L848" s="10" t="n"/>
      <c r="M848" s="8" t="n"/>
      <c r="N848" s="11">
        <f>IF(OR(J848="",H848="",I848=""),"",J848/((I848-H848)*1440))</f>
        <v/>
      </c>
      <c r="O848" s="7" t="n"/>
      <c r="P848" s="7" t="n"/>
      <c r="Q848" s="7" t="n"/>
      <c r="R848" s="12" t="n"/>
      <c r="S848" s="13">
        <f>IF(OR(R848="",J848=""),"",R848/J848-1)</f>
        <v/>
      </c>
      <c r="T848" s="14">
        <f>IF(OR(L848="",R848="",J848=""),"",SQRT(4+(L848^2-4)*(R848/J848)^2))</f>
        <v/>
      </c>
      <c r="U848" s="7" t="n"/>
      <c r="V848" s="7" t="n"/>
    </row>
    <row r="849">
      <c r="A849" s="7" t="inlineStr">
        <is>
          <t>L-11/2-1-i2</t>
        </is>
      </c>
      <c r="B849" s="7" t="inlineStr">
        <is>
          <t>1 1/2</t>
        </is>
      </c>
      <c r="C849" s="7" t="inlineStr">
        <is>
          <t>L</t>
        </is>
      </c>
      <c r="D849" s="7" t="inlineStr">
        <is>
          <t>Copper L</t>
        </is>
      </c>
      <c r="E849" s="7" t="n">
        <v>1</v>
      </c>
      <c r="F849" s="7" t="n">
        <v>2</v>
      </c>
      <c r="G849" s="8" t="n"/>
      <c r="H849" s="27" t="n"/>
      <c r="I849" s="27" t="n"/>
      <c r="J849" s="8" t="n"/>
      <c r="K849" s="8" t="n"/>
      <c r="L849" s="10" t="n"/>
      <c r="M849" s="8" t="n"/>
      <c r="N849" s="11">
        <f>IF(OR(J849="",H849="",I849=""),"",J849/((I849-H849)*1440))</f>
        <v/>
      </c>
      <c r="O849" s="7" t="n"/>
      <c r="P849" s="7" t="n"/>
      <c r="Q849" s="7" t="n"/>
      <c r="R849" s="12" t="n"/>
      <c r="S849" s="13">
        <f>IF(OR(R849="",J849=""),"",R849/J849-1)</f>
        <v/>
      </c>
      <c r="T849" s="14">
        <f>IF(OR(L849="",R849="",J849=""),"",SQRT(4+(L849^2-4)*(R849/J849)^2))</f>
        <v/>
      </c>
      <c r="U849" s="7" t="n"/>
      <c r="V849" s="7" t="n"/>
    </row>
    <row r="850">
      <c r="A850" s="7" t="inlineStr">
        <is>
          <t>L-11/2-1-i3</t>
        </is>
      </c>
      <c r="B850" s="7" t="inlineStr">
        <is>
          <t>1 1/2</t>
        </is>
      </c>
      <c r="C850" s="7" t="inlineStr">
        <is>
          <t>L</t>
        </is>
      </c>
      <c r="D850" s="7" t="inlineStr">
        <is>
          <t>Copper L</t>
        </is>
      </c>
      <c r="E850" s="7" t="n">
        <v>1</v>
      </c>
      <c r="F850" s="7" t="n">
        <v>3</v>
      </c>
      <c r="G850" s="8" t="n"/>
      <c r="H850" s="27" t="n"/>
      <c r="I850" s="27" t="n"/>
      <c r="J850" s="8" t="n"/>
      <c r="K850" s="8" t="n"/>
      <c r="L850" s="10" t="n"/>
      <c r="M850" s="8" t="n"/>
      <c r="N850" s="11">
        <f>IF(OR(J850="",H850="",I850=""),"",J850/((I850-H850)*1440))</f>
        <v/>
      </c>
      <c r="O850" s="7" t="n"/>
      <c r="P850" s="7" t="n"/>
      <c r="Q850" s="7" t="n"/>
      <c r="R850" s="12" t="n"/>
      <c r="S850" s="13">
        <f>IF(OR(R850="",J850=""),"",R850/J850-1)</f>
        <v/>
      </c>
      <c r="T850" s="14">
        <f>IF(OR(L850="",R850="",J850=""),"",SQRT(4+(L850^2-4)*(R850/J850)^2))</f>
        <v/>
      </c>
      <c r="U850" s="7" t="n"/>
      <c r="V850" s="7" t="n"/>
    </row>
    <row r="851">
      <c r="A851" s="7" t="inlineStr">
        <is>
          <t>L-11/2-3-i1</t>
        </is>
      </c>
      <c r="B851" s="7" t="inlineStr">
        <is>
          <t>1 1/2</t>
        </is>
      </c>
      <c r="C851" s="7" t="inlineStr">
        <is>
          <t>L</t>
        </is>
      </c>
      <c r="D851" s="7" t="inlineStr">
        <is>
          <t>Copper L</t>
        </is>
      </c>
      <c r="E851" s="7" t="n">
        <v>3</v>
      </c>
      <c r="F851" s="7" t="n">
        <v>1</v>
      </c>
      <c r="G851" s="8" t="n"/>
      <c r="H851" s="27" t="n"/>
      <c r="I851" s="27" t="n"/>
      <c r="J851" s="8" t="n"/>
      <c r="K851" s="8" t="n"/>
      <c r="L851" s="10" t="n"/>
      <c r="M851" s="8" t="n"/>
      <c r="N851" s="11">
        <f>IF(OR(J851="",H851="",I851=""),"",J851/((I851-H851)*1440))</f>
        <v/>
      </c>
      <c r="O851" s="7" t="n"/>
      <c r="P851" s="7" t="n"/>
      <c r="Q851" s="7" t="n"/>
      <c r="R851" s="12" t="n"/>
      <c r="S851" s="13">
        <f>IF(OR(R851="",J851=""),"",R851/J851-1)</f>
        <v/>
      </c>
      <c r="T851" s="14">
        <f>IF(OR(L851="",R851="",J851=""),"",SQRT(4+(L851^2-4)*(R851/J851)^2))</f>
        <v/>
      </c>
      <c r="U851" s="7" t="n"/>
      <c r="V851" s="7" t="n"/>
    </row>
    <row r="852">
      <c r="A852" s="7" t="inlineStr">
        <is>
          <t>L-11/2-3-i2</t>
        </is>
      </c>
      <c r="B852" s="7" t="inlineStr">
        <is>
          <t>1 1/2</t>
        </is>
      </c>
      <c r="C852" s="7" t="inlineStr">
        <is>
          <t>L</t>
        </is>
      </c>
      <c r="D852" s="7" t="inlineStr">
        <is>
          <t>Copper L</t>
        </is>
      </c>
      <c r="E852" s="7" t="n">
        <v>3</v>
      </c>
      <c r="F852" s="7" t="n">
        <v>2</v>
      </c>
      <c r="G852" s="8" t="n"/>
      <c r="H852" s="27" t="n"/>
      <c r="I852" s="27" t="n"/>
      <c r="J852" s="8" t="n"/>
      <c r="K852" s="8" t="n"/>
      <c r="L852" s="10" t="n"/>
      <c r="M852" s="8" t="n"/>
      <c r="N852" s="11">
        <f>IF(OR(J852="",H852="",I852=""),"",J852/((I852-H852)*1440))</f>
        <v/>
      </c>
      <c r="O852" s="7" t="n"/>
      <c r="P852" s="7" t="n"/>
      <c r="Q852" s="7" t="n"/>
      <c r="R852" s="12" t="n"/>
      <c r="S852" s="13">
        <f>IF(OR(R852="",J852=""),"",R852/J852-1)</f>
        <v/>
      </c>
      <c r="T852" s="14">
        <f>IF(OR(L852="",R852="",J852=""),"",SQRT(4+(L852^2-4)*(R852/J852)^2))</f>
        <v/>
      </c>
      <c r="U852" s="7" t="n"/>
      <c r="V852" s="7" t="n"/>
    </row>
    <row r="853">
      <c r="A853" s="7" t="inlineStr">
        <is>
          <t>L-11/2-3-i3</t>
        </is>
      </c>
      <c r="B853" s="7" t="inlineStr">
        <is>
          <t>1 1/2</t>
        </is>
      </c>
      <c r="C853" s="7" t="inlineStr">
        <is>
          <t>L</t>
        </is>
      </c>
      <c r="D853" s="7" t="inlineStr">
        <is>
          <t>Copper L</t>
        </is>
      </c>
      <c r="E853" s="7" t="n">
        <v>3</v>
      </c>
      <c r="F853" s="7" t="n">
        <v>3</v>
      </c>
      <c r="G853" s="8" t="n"/>
      <c r="H853" s="27" t="n"/>
      <c r="I853" s="27" t="n"/>
      <c r="J853" s="8" t="n"/>
      <c r="K853" s="8" t="n"/>
      <c r="L853" s="10" t="n"/>
      <c r="M853" s="8" t="n"/>
      <c r="N853" s="11">
        <f>IF(OR(J853="",H853="",I853=""),"",J853/((I853-H853)*1440))</f>
        <v/>
      </c>
      <c r="O853" s="7" t="n"/>
      <c r="P853" s="7" t="n"/>
      <c r="Q853" s="7" t="n"/>
      <c r="R853" s="12" t="n"/>
      <c r="S853" s="13">
        <f>IF(OR(R853="",J853=""),"",R853/J853-1)</f>
        <v/>
      </c>
      <c r="T853" s="14">
        <f>IF(OR(L853="",R853="",J853=""),"",SQRT(4+(L853^2-4)*(R853/J853)^2))</f>
        <v/>
      </c>
      <c r="U853" s="7" t="n"/>
      <c r="V853" s="7" t="n"/>
    </row>
    <row r="854">
      <c r="A854" s="7" t="inlineStr">
        <is>
          <t>L-11/2-5-i1</t>
        </is>
      </c>
      <c r="B854" s="7" t="inlineStr">
        <is>
          <t>1 1/2</t>
        </is>
      </c>
      <c r="C854" s="7" t="inlineStr">
        <is>
          <t>L</t>
        </is>
      </c>
      <c r="D854" s="7" t="inlineStr">
        <is>
          <t>Copper L</t>
        </is>
      </c>
      <c r="E854" s="7" t="n">
        <v>5</v>
      </c>
      <c r="F854" s="7" t="n">
        <v>1</v>
      </c>
      <c r="G854" s="8" t="n"/>
      <c r="H854" s="27" t="n"/>
      <c r="I854" s="27" t="n"/>
      <c r="J854" s="8" t="n"/>
      <c r="K854" s="8" t="n"/>
      <c r="L854" s="10" t="n"/>
      <c r="M854" s="8" t="n"/>
      <c r="N854" s="11">
        <f>IF(OR(J854="",H854="",I854=""),"",J854/((I854-H854)*1440))</f>
        <v/>
      </c>
      <c r="O854" s="7" t="n"/>
      <c r="P854" s="7" t="n"/>
      <c r="Q854" s="7" t="n"/>
      <c r="R854" s="12" t="n"/>
      <c r="S854" s="13">
        <f>IF(OR(R854="",J854=""),"",R854/J854-1)</f>
        <v/>
      </c>
      <c r="T854" s="14">
        <f>IF(OR(L854="",R854="",J854=""),"",SQRT(4+(L854^2-4)*(R854/J854)^2))</f>
        <v/>
      </c>
      <c r="U854" s="7" t="n"/>
      <c r="V854" s="7" t="n"/>
    </row>
    <row r="855">
      <c r="A855" s="7" t="inlineStr">
        <is>
          <t>L-11/2-5-i2</t>
        </is>
      </c>
      <c r="B855" s="7" t="inlineStr">
        <is>
          <t>1 1/2</t>
        </is>
      </c>
      <c r="C855" s="7" t="inlineStr">
        <is>
          <t>L</t>
        </is>
      </c>
      <c r="D855" s="7" t="inlineStr">
        <is>
          <t>Copper L</t>
        </is>
      </c>
      <c r="E855" s="7" t="n">
        <v>5</v>
      </c>
      <c r="F855" s="7" t="n">
        <v>2</v>
      </c>
      <c r="G855" s="8" t="n"/>
      <c r="H855" s="27" t="n"/>
      <c r="I855" s="27" t="n"/>
      <c r="J855" s="8" t="n"/>
      <c r="K855" s="8" t="n"/>
      <c r="L855" s="10" t="n"/>
      <c r="M855" s="8" t="n"/>
      <c r="N855" s="11">
        <f>IF(OR(J855="",H855="",I855=""),"",J855/((I855-H855)*1440))</f>
        <v/>
      </c>
      <c r="O855" s="7" t="n"/>
      <c r="P855" s="7" t="n"/>
      <c r="Q855" s="7" t="n"/>
      <c r="R855" s="12" t="n"/>
      <c r="S855" s="13">
        <f>IF(OR(R855="",J855=""),"",R855/J855-1)</f>
        <v/>
      </c>
      <c r="T855" s="14">
        <f>IF(OR(L855="",R855="",J855=""),"",SQRT(4+(L855^2-4)*(R855/J855)^2))</f>
        <v/>
      </c>
      <c r="U855" s="7" t="n"/>
      <c r="V855" s="7" t="n"/>
    </row>
    <row r="856">
      <c r="A856" s="7" t="inlineStr">
        <is>
          <t>L-11/2-5-i3</t>
        </is>
      </c>
      <c r="B856" s="7" t="inlineStr">
        <is>
          <t>1 1/2</t>
        </is>
      </c>
      <c r="C856" s="7" t="inlineStr">
        <is>
          <t>L</t>
        </is>
      </c>
      <c r="D856" s="7" t="inlineStr">
        <is>
          <t>Copper L</t>
        </is>
      </c>
      <c r="E856" s="7" t="n">
        <v>5</v>
      </c>
      <c r="F856" s="7" t="n">
        <v>3</v>
      </c>
      <c r="G856" s="8" t="n"/>
      <c r="H856" s="27" t="n"/>
      <c r="I856" s="27" t="n"/>
      <c r="J856" s="8" t="n"/>
      <c r="K856" s="8" t="n"/>
      <c r="L856" s="10" t="n"/>
      <c r="M856" s="8" t="n"/>
      <c r="N856" s="11">
        <f>IF(OR(J856="",H856="",I856=""),"",J856/((I856-H856)*1440))</f>
        <v/>
      </c>
      <c r="O856" s="7" t="n"/>
      <c r="P856" s="7" t="n"/>
      <c r="Q856" s="7" t="n"/>
      <c r="R856" s="12" t="n"/>
      <c r="S856" s="13">
        <f>IF(OR(R856="",J856=""),"",R856/J856-1)</f>
        <v/>
      </c>
      <c r="T856" s="14">
        <f>IF(OR(L856="",R856="",J856=""),"",SQRT(4+(L856^2-4)*(R856/J856)^2))</f>
        <v/>
      </c>
      <c r="U856" s="7" t="n"/>
      <c r="V856" s="7" t="n"/>
    </row>
    <row r="857">
      <c r="A857" s="7" t="inlineStr">
        <is>
          <t>L-11/2-10-i1</t>
        </is>
      </c>
      <c r="B857" s="7" t="inlineStr">
        <is>
          <t>1 1/2</t>
        </is>
      </c>
      <c r="C857" s="7" t="inlineStr">
        <is>
          <t>L</t>
        </is>
      </c>
      <c r="D857" s="7" t="inlineStr">
        <is>
          <t>Copper L</t>
        </is>
      </c>
      <c r="E857" s="7" t="n">
        <v>10</v>
      </c>
      <c r="F857" s="7" t="n">
        <v>1</v>
      </c>
      <c r="G857" s="8" t="n"/>
      <c r="H857" s="27" t="n"/>
      <c r="I857" s="27" t="n"/>
      <c r="J857" s="8" t="n"/>
      <c r="K857" s="8" t="n"/>
      <c r="L857" s="10" t="n"/>
      <c r="M857" s="8" t="n"/>
      <c r="N857" s="11">
        <f>IF(OR(J857="",H857="",I857=""),"",J857/((I857-H857)*1440))</f>
        <v/>
      </c>
      <c r="O857" s="7" t="n"/>
      <c r="P857" s="7" t="n"/>
      <c r="Q857" s="7" t="n"/>
      <c r="R857" s="12" t="n"/>
      <c r="S857" s="13">
        <f>IF(OR(R857="",J857=""),"",R857/J857-1)</f>
        <v/>
      </c>
      <c r="T857" s="14">
        <f>IF(OR(L857="",R857="",J857=""),"",SQRT(4+(L857^2-4)*(R857/J857)^2))</f>
        <v/>
      </c>
      <c r="U857" s="7" t="n"/>
      <c r="V857" s="7" t="n"/>
    </row>
    <row r="858">
      <c r="A858" s="7" t="inlineStr">
        <is>
          <t>L-11/2-10-i2</t>
        </is>
      </c>
      <c r="B858" s="7" t="inlineStr">
        <is>
          <t>1 1/2</t>
        </is>
      </c>
      <c r="C858" s="7" t="inlineStr">
        <is>
          <t>L</t>
        </is>
      </c>
      <c r="D858" s="7" t="inlineStr">
        <is>
          <t>Copper L</t>
        </is>
      </c>
      <c r="E858" s="7" t="n">
        <v>10</v>
      </c>
      <c r="F858" s="7" t="n">
        <v>2</v>
      </c>
      <c r="G858" s="8" t="n"/>
      <c r="H858" s="27" t="n"/>
      <c r="I858" s="27" t="n"/>
      <c r="J858" s="8" t="n"/>
      <c r="K858" s="8" t="n"/>
      <c r="L858" s="10" t="n"/>
      <c r="M858" s="8" t="n"/>
      <c r="N858" s="11">
        <f>IF(OR(J858="",H858="",I858=""),"",J858/((I858-H858)*1440))</f>
        <v/>
      </c>
      <c r="O858" s="7" t="n"/>
      <c r="P858" s="7" t="n"/>
      <c r="Q858" s="7" t="n"/>
      <c r="R858" s="12" t="n"/>
      <c r="S858" s="13">
        <f>IF(OR(R858="",J858=""),"",R858/J858-1)</f>
        <v/>
      </c>
      <c r="T858" s="14">
        <f>IF(OR(L858="",R858="",J858=""),"",SQRT(4+(L858^2-4)*(R858/J858)^2))</f>
        <v/>
      </c>
      <c r="U858" s="7" t="n"/>
      <c r="V858" s="7" t="n"/>
    </row>
    <row r="859">
      <c r="A859" s="7" t="inlineStr">
        <is>
          <t>L-11/2-10-i3</t>
        </is>
      </c>
      <c r="B859" s="7" t="inlineStr">
        <is>
          <t>1 1/2</t>
        </is>
      </c>
      <c r="C859" s="7" t="inlineStr">
        <is>
          <t>L</t>
        </is>
      </c>
      <c r="D859" s="7" t="inlineStr">
        <is>
          <t>Copper L</t>
        </is>
      </c>
      <c r="E859" s="7" t="n">
        <v>10</v>
      </c>
      <c r="F859" s="7" t="n">
        <v>3</v>
      </c>
      <c r="G859" s="8" t="n"/>
      <c r="H859" s="27" t="n"/>
      <c r="I859" s="27" t="n"/>
      <c r="J859" s="8" t="n"/>
      <c r="K859" s="8" t="n"/>
      <c r="L859" s="10" t="n"/>
      <c r="M859" s="8" t="n"/>
      <c r="N859" s="11">
        <f>IF(OR(J859="",H859="",I859=""),"",J859/((I859-H859)*1440))</f>
        <v/>
      </c>
      <c r="O859" s="7" t="n"/>
      <c r="P859" s="7" t="n"/>
      <c r="Q859" s="7" t="n"/>
      <c r="R859" s="12" t="n"/>
      <c r="S859" s="13">
        <f>IF(OR(R859="",J859=""),"",R859/J859-1)</f>
        <v/>
      </c>
      <c r="T859" s="14">
        <f>IF(OR(L859="",R859="",J859=""),"",SQRT(4+(L859^2-4)*(R859/J859)^2))</f>
        <v/>
      </c>
      <c r="U859" s="7" t="n"/>
      <c r="V859" s="7" t="n"/>
    </row>
    <row r="860">
      <c r="A860" s="7" t="inlineStr">
        <is>
          <t>M-11/2-0.5-i1</t>
        </is>
      </c>
      <c r="B860" s="7" t="inlineStr">
        <is>
          <t>1 1/2</t>
        </is>
      </c>
      <c r="C860" s="7" t="inlineStr">
        <is>
          <t>M</t>
        </is>
      </c>
      <c r="D860" s="7" t="inlineStr">
        <is>
          <t>Copper M</t>
        </is>
      </c>
      <c r="E860" s="7" t="n">
        <v>0.5</v>
      </c>
      <c r="F860" s="7" t="n">
        <v>1</v>
      </c>
      <c r="G860" s="8" t="n"/>
      <c r="H860" s="27" t="n"/>
      <c r="I860" s="27" t="n"/>
      <c r="J860" s="8" t="n"/>
      <c r="K860" s="8" t="n"/>
      <c r="L860" s="10" t="n"/>
      <c r="M860" s="8" t="n"/>
      <c r="N860" s="11">
        <f>IF(OR(J860="",H860="",I860=""),"",J860/((I860-H860)*1440))</f>
        <v/>
      </c>
      <c r="O860" s="7" t="n"/>
      <c r="P860" s="7" t="n"/>
      <c r="Q860" s="7" t="n"/>
      <c r="R860" s="12" t="n"/>
      <c r="S860" s="13">
        <f>IF(OR(R860="",J860=""),"",R860/J860-1)</f>
        <v/>
      </c>
      <c r="T860" s="14">
        <f>IF(OR(L860="",R860="",J860=""),"",SQRT(4+(L860^2-4)*(R860/J860)^2))</f>
        <v/>
      </c>
      <c r="U860" s="7" t="n"/>
      <c r="V860" s="7" t="n"/>
    </row>
    <row r="861">
      <c r="A861" s="7" t="inlineStr">
        <is>
          <t>M-11/2-0.5-i2</t>
        </is>
      </c>
      <c r="B861" s="7" t="inlineStr">
        <is>
          <t>1 1/2</t>
        </is>
      </c>
      <c r="C861" s="7" t="inlineStr">
        <is>
          <t>M</t>
        </is>
      </c>
      <c r="D861" s="7" t="inlineStr">
        <is>
          <t>Copper M</t>
        </is>
      </c>
      <c r="E861" s="7" t="n">
        <v>0.5</v>
      </c>
      <c r="F861" s="7" t="n">
        <v>2</v>
      </c>
      <c r="G861" s="8" t="n"/>
      <c r="H861" s="27" t="n"/>
      <c r="I861" s="27" t="n"/>
      <c r="J861" s="8" t="n"/>
      <c r="K861" s="8" t="n"/>
      <c r="L861" s="10" t="n"/>
      <c r="M861" s="8" t="n"/>
      <c r="N861" s="11">
        <f>IF(OR(J861="",H861="",I861=""),"",J861/((I861-H861)*1440))</f>
        <v/>
      </c>
      <c r="O861" s="7" t="n"/>
      <c r="P861" s="7" t="n"/>
      <c r="Q861" s="7" t="n"/>
      <c r="R861" s="12" t="n"/>
      <c r="S861" s="13">
        <f>IF(OR(R861="",J861=""),"",R861/J861-1)</f>
        <v/>
      </c>
      <c r="T861" s="14">
        <f>IF(OR(L861="",R861="",J861=""),"",SQRT(4+(L861^2-4)*(R861/J861)^2))</f>
        <v/>
      </c>
      <c r="U861" s="7" t="n"/>
      <c r="V861" s="7" t="n"/>
    </row>
    <row r="862">
      <c r="A862" s="7" t="inlineStr">
        <is>
          <t>M-11/2-0.5-i3</t>
        </is>
      </c>
      <c r="B862" s="7" t="inlineStr">
        <is>
          <t>1 1/2</t>
        </is>
      </c>
      <c r="C862" s="7" t="inlineStr">
        <is>
          <t>M</t>
        </is>
      </c>
      <c r="D862" s="7" t="inlineStr">
        <is>
          <t>Copper M</t>
        </is>
      </c>
      <c r="E862" s="7" t="n">
        <v>0.5</v>
      </c>
      <c r="F862" s="7" t="n">
        <v>3</v>
      </c>
      <c r="G862" s="8" t="n"/>
      <c r="H862" s="27" t="n"/>
      <c r="I862" s="27" t="n"/>
      <c r="J862" s="8" t="n"/>
      <c r="K862" s="8" t="n"/>
      <c r="L862" s="10" t="n"/>
      <c r="M862" s="8" t="n"/>
      <c r="N862" s="11">
        <f>IF(OR(J862="",H862="",I862=""),"",J862/((I862-H862)*1440))</f>
        <v/>
      </c>
      <c r="O862" s="7" t="n"/>
      <c r="P862" s="7" t="n"/>
      <c r="Q862" s="7" t="n"/>
      <c r="R862" s="12" t="n"/>
      <c r="S862" s="13">
        <f>IF(OR(R862="",J862=""),"",R862/J862-1)</f>
        <v/>
      </c>
      <c r="T862" s="14">
        <f>IF(OR(L862="",R862="",J862=""),"",SQRT(4+(L862^2-4)*(R862/J862)^2))</f>
        <v/>
      </c>
      <c r="U862" s="7" t="n"/>
      <c r="V862" s="7" t="n"/>
    </row>
    <row r="863">
      <c r="A863" s="7" t="inlineStr">
        <is>
          <t>M-11/2-1-i1</t>
        </is>
      </c>
      <c r="B863" s="7" t="inlineStr">
        <is>
          <t>1 1/2</t>
        </is>
      </c>
      <c r="C863" s="7" t="inlineStr">
        <is>
          <t>M</t>
        </is>
      </c>
      <c r="D863" s="7" t="inlineStr">
        <is>
          <t>Copper M</t>
        </is>
      </c>
      <c r="E863" s="7" t="n">
        <v>1</v>
      </c>
      <c r="F863" s="7" t="n">
        <v>1</v>
      </c>
      <c r="G863" s="8" t="n"/>
      <c r="H863" s="27" t="n"/>
      <c r="I863" s="27" t="n"/>
      <c r="J863" s="8" t="n"/>
      <c r="K863" s="8" t="n"/>
      <c r="L863" s="10" t="n"/>
      <c r="M863" s="8" t="n"/>
      <c r="N863" s="11">
        <f>IF(OR(J863="",H863="",I863=""),"",J863/((I863-H863)*1440))</f>
        <v/>
      </c>
      <c r="O863" s="7" t="n"/>
      <c r="P863" s="7" t="n"/>
      <c r="Q863" s="7" t="n"/>
      <c r="R863" s="12" t="n"/>
      <c r="S863" s="13">
        <f>IF(OR(R863="",J863=""),"",R863/J863-1)</f>
        <v/>
      </c>
      <c r="T863" s="14">
        <f>IF(OR(L863="",R863="",J863=""),"",SQRT(4+(L863^2-4)*(R863/J863)^2))</f>
        <v/>
      </c>
      <c r="U863" s="7" t="n"/>
      <c r="V863" s="7" t="n"/>
    </row>
    <row r="864">
      <c r="A864" s="7" t="inlineStr">
        <is>
          <t>M-11/2-1-i2</t>
        </is>
      </c>
      <c r="B864" s="7" t="inlineStr">
        <is>
          <t>1 1/2</t>
        </is>
      </c>
      <c r="C864" s="7" t="inlineStr">
        <is>
          <t>M</t>
        </is>
      </c>
      <c r="D864" s="7" t="inlineStr">
        <is>
          <t>Copper M</t>
        </is>
      </c>
      <c r="E864" s="7" t="n">
        <v>1</v>
      </c>
      <c r="F864" s="7" t="n">
        <v>2</v>
      </c>
      <c r="G864" s="8" t="n"/>
      <c r="H864" s="27" t="n"/>
      <c r="I864" s="27" t="n"/>
      <c r="J864" s="8" t="n"/>
      <c r="K864" s="8" t="n"/>
      <c r="L864" s="10" t="n"/>
      <c r="M864" s="8" t="n"/>
      <c r="N864" s="11">
        <f>IF(OR(J864="",H864="",I864=""),"",J864/((I864-H864)*1440))</f>
        <v/>
      </c>
      <c r="O864" s="7" t="n"/>
      <c r="P864" s="7" t="n"/>
      <c r="Q864" s="7" t="n"/>
      <c r="R864" s="12" t="n"/>
      <c r="S864" s="13">
        <f>IF(OR(R864="",J864=""),"",R864/J864-1)</f>
        <v/>
      </c>
      <c r="T864" s="14">
        <f>IF(OR(L864="",R864="",J864=""),"",SQRT(4+(L864^2-4)*(R864/J864)^2))</f>
        <v/>
      </c>
      <c r="U864" s="7" t="n"/>
      <c r="V864" s="7" t="n"/>
    </row>
    <row r="865">
      <c r="A865" s="7" t="inlineStr">
        <is>
          <t>M-11/2-1-i3</t>
        </is>
      </c>
      <c r="B865" s="7" t="inlineStr">
        <is>
          <t>1 1/2</t>
        </is>
      </c>
      <c r="C865" s="7" t="inlineStr">
        <is>
          <t>M</t>
        </is>
      </c>
      <c r="D865" s="7" t="inlineStr">
        <is>
          <t>Copper M</t>
        </is>
      </c>
      <c r="E865" s="7" t="n">
        <v>1</v>
      </c>
      <c r="F865" s="7" t="n">
        <v>3</v>
      </c>
      <c r="G865" s="8" t="n"/>
      <c r="H865" s="27" t="n"/>
      <c r="I865" s="27" t="n"/>
      <c r="J865" s="8" t="n"/>
      <c r="K865" s="8" t="n"/>
      <c r="L865" s="10" t="n"/>
      <c r="M865" s="8" t="n"/>
      <c r="N865" s="11">
        <f>IF(OR(J865="",H865="",I865=""),"",J865/((I865-H865)*1440))</f>
        <v/>
      </c>
      <c r="O865" s="7" t="n"/>
      <c r="P865" s="7" t="n"/>
      <c r="Q865" s="7" t="n"/>
      <c r="R865" s="12" t="n"/>
      <c r="S865" s="13">
        <f>IF(OR(R865="",J865=""),"",R865/J865-1)</f>
        <v/>
      </c>
      <c r="T865" s="14">
        <f>IF(OR(L865="",R865="",J865=""),"",SQRT(4+(L865^2-4)*(R865/J865)^2))</f>
        <v/>
      </c>
      <c r="U865" s="7" t="n"/>
      <c r="V865" s="7" t="n"/>
    </row>
    <row r="866">
      <c r="A866" s="7" t="inlineStr">
        <is>
          <t>M-11/2-3-i1</t>
        </is>
      </c>
      <c r="B866" s="7" t="inlineStr">
        <is>
          <t>1 1/2</t>
        </is>
      </c>
      <c r="C866" s="7" t="inlineStr">
        <is>
          <t>M</t>
        </is>
      </c>
      <c r="D866" s="7" t="inlineStr">
        <is>
          <t>Copper M</t>
        </is>
      </c>
      <c r="E866" s="7" t="n">
        <v>3</v>
      </c>
      <c r="F866" s="7" t="n">
        <v>1</v>
      </c>
      <c r="G866" s="8" t="n"/>
      <c r="H866" s="27" t="n"/>
      <c r="I866" s="27" t="n"/>
      <c r="J866" s="8" t="n"/>
      <c r="K866" s="8" t="n"/>
      <c r="L866" s="10" t="n"/>
      <c r="M866" s="8" t="n"/>
      <c r="N866" s="11">
        <f>IF(OR(J866="",H866="",I866=""),"",J866/((I866-H866)*1440))</f>
        <v/>
      </c>
      <c r="O866" s="7" t="n"/>
      <c r="P866" s="7" t="n"/>
      <c r="Q866" s="7" t="n"/>
      <c r="R866" s="12" t="n"/>
      <c r="S866" s="13">
        <f>IF(OR(R866="",J866=""),"",R866/J866-1)</f>
        <v/>
      </c>
      <c r="T866" s="14">
        <f>IF(OR(L866="",R866="",J866=""),"",SQRT(4+(L866^2-4)*(R866/J866)^2))</f>
        <v/>
      </c>
      <c r="U866" s="7" t="n"/>
      <c r="V866" s="7" t="n"/>
    </row>
    <row r="867">
      <c r="A867" s="7" t="inlineStr">
        <is>
          <t>M-11/2-3-i2</t>
        </is>
      </c>
      <c r="B867" s="7" t="inlineStr">
        <is>
          <t>1 1/2</t>
        </is>
      </c>
      <c r="C867" s="7" t="inlineStr">
        <is>
          <t>M</t>
        </is>
      </c>
      <c r="D867" s="7" t="inlineStr">
        <is>
          <t>Copper M</t>
        </is>
      </c>
      <c r="E867" s="7" t="n">
        <v>3</v>
      </c>
      <c r="F867" s="7" t="n">
        <v>2</v>
      </c>
      <c r="G867" s="8" t="n"/>
      <c r="H867" s="27" t="n"/>
      <c r="I867" s="27" t="n"/>
      <c r="J867" s="8" t="n"/>
      <c r="K867" s="8" t="n"/>
      <c r="L867" s="10" t="n"/>
      <c r="M867" s="8" t="n"/>
      <c r="N867" s="11">
        <f>IF(OR(J867="",H867="",I867=""),"",J867/((I867-H867)*1440))</f>
        <v/>
      </c>
      <c r="O867" s="7" t="n"/>
      <c r="P867" s="7" t="n"/>
      <c r="Q867" s="7" t="n"/>
      <c r="R867" s="12" t="n"/>
      <c r="S867" s="13">
        <f>IF(OR(R867="",J867=""),"",R867/J867-1)</f>
        <v/>
      </c>
      <c r="T867" s="14">
        <f>IF(OR(L867="",R867="",J867=""),"",SQRT(4+(L867^2-4)*(R867/J867)^2))</f>
        <v/>
      </c>
      <c r="U867" s="7" t="n"/>
      <c r="V867" s="7" t="n"/>
    </row>
    <row r="868">
      <c r="A868" s="7" t="inlineStr">
        <is>
          <t>M-11/2-3-i3</t>
        </is>
      </c>
      <c r="B868" s="7" t="inlineStr">
        <is>
          <t>1 1/2</t>
        </is>
      </c>
      <c r="C868" s="7" t="inlineStr">
        <is>
          <t>M</t>
        </is>
      </c>
      <c r="D868" s="7" t="inlineStr">
        <is>
          <t>Copper M</t>
        </is>
      </c>
      <c r="E868" s="7" t="n">
        <v>3</v>
      </c>
      <c r="F868" s="7" t="n">
        <v>3</v>
      </c>
      <c r="G868" s="8" t="n"/>
      <c r="H868" s="27" t="n"/>
      <c r="I868" s="27" t="n"/>
      <c r="J868" s="8" t="n"/>
      <c r="K868" s="8" t="n"/>
      <c r="L868" s="10" t="n"/>
      <c r="M868" s="8" t="n"/>
      <c r="N868" s="11">
        <f>IF(OR(J868="",H868="",I868=""),"",J868/((I868-H868)*1440))</f>
        <v/>
      </c>
      <c r="O868" s="7" t="n"/>
      <c r="P868" s="7" t="n"/>
      <c r="Q868" s="7" t="n"/>
      <c r="R868" s="12" t="n"/>
      <c r="S868" s="13">
        <f>IF(OR(R868="",J868=""),"",R868/J868-1)</f>
        <v/>
      </c>
      <c r="T868" s="14">
        <f>IF(OR(L868="",R868="",J868=""),"",SQRT(4+(L868^2-4)*(R868/J868)^2))</f>
        <v/>
      </c>
      <c r="U868" s="7" t="n"/>
      <c r="V868" s="7" t="n"/>
    </row>
    <row r="869">
      <c r="A869" s="7" t="inlineStr">
        <is>
          <t>M-11/2-5-i1</t>
        </is>
      </c>
      <c r="B869" s="7" t="inlineStr">
        <is>
          <t>1 1/2</t>
        </is>
      </c>
      <c r="C869" s="7" t="inlineStr">
        <is>
          <t>M</t>
        </is>
      </c>
      <c r="D869" s="7" t="inlineStr">
        <is>
          <t>Copper M</t>
        </is>
      </c>
      <c r="E869" s="7" t="n">
        <v>5</v>
      </c>
      <c r="F869" s="7" t="n">
        <v>1</v>
      </c>
      <c r="G869" s="8" t="n"/>
      <c r="H869" s="27" t="n"/>
      <c r="I869" s="27" t="n"/>
      <c r="J869" s="8" t="n"/>
      <c r="K869" s="8" t="n"/>
      <c r="L869" s="10" t="n"/>
      <c r="M869" s="8" t="n"/>
      <c r="N869" s="11">
        <f>IF(OR(J869="",H869="",I869=""),"",J869/((I869-H869)*1440))</f>
        <v/>
      </c>
      <c r="O869" s="7" t="n"/>
      <c r="P869" s="7" t="n"/>
      <c r="Q869" s="7" t="n"/>
      <c r="R869" s="12" t="n"/>
      <c r="S869" s="13">
        <f>IF(OR(R869="",J869=""),"",R869/J869-1)</f>
        <v/>
      </c>
      <c r="T869" s="14">
        <f>IF(OR(L869="",R869="",J869=""),"",SQRT(4+(L869^2-4)*(R869/J869)^2))</f>
        <v/>
      </c>
      <c r="U869" s="7" t="n"/>
      <c r="V869" s="7" t="n"/>
    </row>
    <row r="870">
      <c r="A870" s="7" t="inlineStr">
        <is>
          <t>M-11/2-5-i2</t>
        </is>
      </c>
      <c r="B870" s="7" t="inlineStr">
        <is>
          <t>1 1/2</t>
        </is>
      </c>
      <c r="C870" s="7" t="inlineStr">
        <is>
          <t>M</t>
        </is>
      </c>
      <c r="D870" s="7" t="inlineStr">
        <is>
          <t>Copper M</t>
        </is>
      </c>
      <c r="E870" s="7" t="n">
        <v>5</v>
      </c>
      <c r="F870" s="7" t="n">
        <v>2</v>
      </c>
      <c r="G870" s="8" t="n"/>
      <c r="H870" s="27" t="n"/>
      <c r="I870" s="27" t="n"/>
      <c r="J870" s="8" t="n"/>
      <c r="K870" s="8" t="n"/>
      <c r="L870" s="10" t="n"/>
      <c r="M870" s="8" t="n"/>
      <c r="N870" s="11">
        <f>IF(OR(J870="",H870="",I870=""),"",J870/((I870-H870)*1440))</f>
        <v/>
      </c>
      <c r="O870" s="7" t="n"/>
      <c r="P870" s="7" t="n"/>
      <c r="Q870" s="7" t="n"/>
      <c r="R870" s="12" t="n"/>
      <c r="S870" s="13">
        <f>IF(OR(R870="",J870=""),"",R870/J870-1)</f>
        <v/>
      </c>
      <c r="T870" s="14">
        <f>IF(OR(L870="",R870="",J870=""),"",SQRT(4+(L870^2-4)*(R870/J870)^2))</f>
        <v/>
      </c>
      <c r="U870" s="7" t="n"/>
      <c r="V870" s="7" t="n"/>
    </row>
    <row r="871">
      <c r="A871" s="7" t="inlineStr">
        <is>
          <t>M-11/2-5-i3</t>
        </is>
      </c>
      <c r="B871" s="7" t="inlineStr">
        <is>
          <t>1 1/2</t>
        </is>
      </c>
      <c r="C871" s="7" t="inlineStr">
        <is>
          <t>M</t>
        </is>
      </c>
      <c r="D871" s="7" t="inlineStr">
        <is>
          <t>Copper M</t>
        </is>
      </c>
      <c r="E871" s="7" t="n">
        <v>5</v>
      </c>
      <c r="F871" s="7" t="n">
        <v>3</v>
      </c>
      <c r="G871" s="8" t="n"/>
      <c r="H871" s="27" t="n"/>
      <c r="I871" s="27" t="n"/>
      <c r="J871" s="8" t="n"/>
      <c r="K871" s="8" t="n"/>
      <c r="L871" s="10" t="n"/>
      <c r="M871" s="8" t="n"/>
      <c r="N871" s="11">
        <f>IF(OR(J871="",H871="",I871=""),"",J871/((I871-H871)*1440))</f>
        <v/>
      </c>
      <c r="O871" s="7" t="n"/>
      <c r="P871" s="7" t="n"/>
      <c r="Q871" s="7" t="n"/>
      <c r="R871" s="12" t="n"/>
      <c r="S871" s="13">
        <f>IF(OR(R871="",J871=""),"",R871/J871-1)</f>
        <v/>
      </c>
      <c r="T871" s="14">
        <f>IF(OR(L871="",R871="",J871=""),"",SQRT(4+(L871^2-4)*(R871/J871)^2))</f>
        <v/>
      </c>
      <c r="U871" s="7" t="n"/>
      <c r="V871" s="7" t="n"/>
    </row>
    <row r="872">
      <c r="A872" s="7" t="inlineStr">
        <is>
          <t>M-11/2-10-i1</t>
        </is>
      </c>
      <c r="B872" s="7" t="inlineStr">
        <is>
          <t>1 1/2</t>
        </is>
      </c>
      <c r="C872" s="7" t="inlineStr">
        <is>
          <t>M</t>
        </is>
      </c>
      <c r="D872" s="7" t="inlineStr">
        <is>
          <t>Copper M</t>
        </is>
      </c>
      <c r="E872" s="7" t="n">
        <v>10</v>
      </c>
      <c r="F872" s="7" t="n">
        <v>1</v>
      </c>
      <c r="G872" s="8" t="n"/>
      <c r="H872" s="27" t="n"/>
      <c r="I872" s="27" t="n"/>
      <c r="J872" s="8" t="n"/>
      <c r="K872" s="8" t="n"/>
      <c r="L872" s="10" t="n"/>
      <c r="M872" s="8" t="n"/>
      <c r="N872" s="11">
        <f>IF(OR(J872="",H872="",I872=""),"",J872/((I872-H872)*1440))</f>
        <v/>
      </c>
      <c r="O872" s="7" t="n"/>
      <c r="P872" s="7" t="n"/>
      <c r="Q872" s="7" t="n"/>
      <c r="R872" s="12" t="n"/>
      <c r="S872" s="13">
        <f>IF(OR(R872="",J872=""),"",R872/J872-1)</f>
        <v/>
      </c>
      <c r="T872" s="14">
        <f>IF(OR(L872="",R872="",J872=""),"",SQRT(4+(L872^2-4)*(R872/J872)^2))</f>
        <v/>
      </c>
      <c r="U872" s="7" t="n"/>
      <c r="V872" s="7" t="n"/>
    </row>
    <row r="873">
      <c r="A873" s="7" t="inlineStr">
        <is>
          <t>M-11/2-10-i2</t>
        </is>
      </c>
      <c r="B873" s="7" t="inlineStr">
        <is>
          <t>1 1/2</t>
        </is>
      </c>
      <c r="C873" s="7" t="inlineStr">
        <is>
          <t>M</t>
        </is>
      </c>
      <c r="D873" s="7" t="inlineStr">
        <is>
          <t>Copper M</t>
        </is>
      </c>
      <c r="E873" s="7" t="n">
        <v>10</v>
      </c>
      <c r="F873" s="7" t="n">
        <v>2</v>
      </c>
      <c r="G873" s="8" t="n"/>
      <c r="H873" s="27" t="n"/>
      <c r="I873" s="27" t="n"/>
      <c r="J873" s="8" t="n"/>
      <c r="K873" s="8" t="n"/>
      <c r="L873" s="10" t="n"/>
      <c r="M873" s="8" t="n"/>
      <c r="N873" s="11">
        <f>IF(OR(J873="",H873="",I873=""),"",J873/((I873-H873)*1440))</f>
        <v/>
      </c>
      <c r="O873" s="7" t="n"/>
      <c r="P873" s="7" t="n"/>
      <c r="Q873" s="7" t="n"/>
      <c r="R873" s="12" t="n"/>
      <c r="S873" s="13">
        <f>IF(OR(R873="",J873=""),"",R873/J873-1)</f>
        <v/>
      </c>
      <c r="T873" s="14">
        <f>IF(OR(L873="",R873="",J873=""),"",SQRT(4+(L873^2-4)*(R873/J873)^2))</f>
        <v/>
      </c>
      <c r="U873" s="7" t="n"/>
      <c r="V873" s="7" t="n"/>
    </row>
    <row r="874">
      <c r="A874" s="7" t="inlineStr">
        <is>
          <t>M-11/2-10-i3</t>
        </is>
      </c>
      <c r="B874" s="7" t="inlineStr">
        <is>
          <t>1 1/2</t>
        </is>
      </c>
      <c r="C874" s="7" t="inlineStr">
        <is>
          <t>M</t>
        </is>
      </c>
      <c r="D874" s="7" t="inlineStr">
        <is>
          <t>Copper M</t>
        </is>
      </c>
      <c r="E874" s="7" t="n">
        <v>10</v>
      </c>
      <c r="F874" s="7" t="n">
        <v>3</v>
      </c>
      <c r="G874" s="8" t="n"/>
      <c r="H874" s="27" t="n"/>
      <c r="I874" s="27" t="n"/>
      <c r="J874" s="8" t="n"/>
      <c r="K874" s="8" t="n"/>
      <c r="L874" s="10" t="n"/>
      <c r="M874" s="8" t="n"/>
      <c r="N874" s="11">
        <f>IF(OR(J874="",H874="",I874=""),"",J874/((I874-H874)*1440))</f>
        <v/>
      </c>
      <c r="O874" s="7" t="n"/>
      <c r="P874" s="7" t="n"/>
      <c r="Q874" s="7" t="n"/>
      <c r="R874" s="12" t="n"/>
      <c r="S874" s="13">
        <f>IF(OR(R874="",J874=""),"",R874/J874-1)</f>
        <v/>
      </c>
      <c r="T874" s="14">
        <f>IF(OR(L874="",R874="",J874=""),"",SQRT(4+(L874^2-4)*(R874/J874)^2))</f>
        <v/>
      </c>
      <c r="U874" s="7" t="n"/>
      <c r="V874" s="7" t="n"/>
    </row>
    <row r="875">
      <c r="A875" s="7" t="inlineStr">
        <is>
          <t>P-11/2-0.5-i1</t>
        </is>
      </c>
      <c r="B875" s="7" t="inlineStr">
        <is>
          <t>1 1/2</t>
        </is>
      </c>
      <c r="C875" s="7" t="inlineStr">
        <is>
          <t>P</t>
        </is>
      </c>
      <c r="D875" s="7" t="inlineStr">
        <is>
          <t>PVC-40</t>
        </is>
      </c>
      <c r="E875" s="7" t="n">
        <v>0.5</v>
      </c>
      <c r="F875" s="7" t="n">
        <v>1</v>
      </c>
      <c r="G875" s="8" t="n"/>
      <c r="H875" s="27" t="n"/>
      <c r="I875" s="27" t="n"/>
      <c r="J875" s="8" t="n"/>
      <c r="K875" s="8" t="n"/>
      <c r="L875" s="10" t="n"/>
      <c r="M875" s="8" t="n"/>
      <c r="N875" s="11">
        <f>IF(OR(J875="",H875="",I875=""),"",J875/((I875-H875)*1440))</f>
        <v/>
      </c>
      <c r="O875" s="7" t="n"/>
      <c r="P875" s="7" t="n"/>
      <c r="Q875" s="7" t="n"/>
      <c r="R875" s="12" t="n"/>
      <c r="S875" s="13">
        <f>IF(OR(R875="",J875=""),"",R875/J875-1)</f>
        <v/>
      </c>
      <c r="T875" s="14">
        <f>IF(OR(L875="",R875="",J875=""),"",SQRT(4+(L875^2-4)*(R875/J875)^2))</f>
        <v/>
      </c>
      <c r="U875" s="7" t="n"/>
      <c r="V875" s="7" t="n"/>
    </row>
    <row r="876">
      <c r="A876" s="7" t="inlineStr">
        <is>
          <t>P-11/2-0.5-i2</t>
        </is>
      </c>
      <c r="B876" s="7" t="inlineStr">
        <is>
          <t>1 1/2</t>
        </is>
      </c>
      <c r="C876" s="7" t="inlineStr">
        <is>
          <t>P</t>
        </is>
      </c>
      <c r="D876" s="7" t="inlineStr">
        <is>
          <t>PVC-40</t>
        </is>
      </c>
      <c r="E876" s="7" t="n">
        <v>0.5</v>
      </c>
      <c r="F876" s="7" t="n">
        <v>2</v>
      </c>
      <c r="G876" s="8" t="n"/>
      <c r="H876" s="27" t="n"/>
      <c r="I876" s="27" t="n"/>
      <c r="J876" s="8" t="n"/>
      <c r="K876" s="8" t="n"/>
      <c r="L876" s="10" t="n"/>
      <c r="M876" s="8" t="n"/>
      <c r="N876" s="11">
        <f>IF(OR(J876="",H876="",I876=""),"",J876/((I876-H876)*1440))</f>
        <v/>
      </c>
      <c r="O876" s="7" t="n"/>
      <c r="P876" s="7" t="n"/>
      <c r="Q876" s="7" t="n"/>
      <c r="R876" s="12" t="n"/>
      <c r="S876" s="13">
        <f>IF(OR(R876="",J876=""),"",R876/J876-1)</f>
        <v/>
      </c>
      <c r="T876" s="14">
        <f>IF(OR(L876="",R876="",J876=""),"",SQRT(4+(L876^2-4)*(R876/J876)^2))</f>
        <v/>
      </c>
      <c r="U876" s="7" t="n"/>
      <c r="V876" s="7" t="n"/>
    </row>
    <row r="877">
      <c r="A877" s="7" t="inlineStr">
        <is>
          <t>P-11/2-0.5-i3</t>
        </is>
      </c>
      <c r="B877" s="7" t="inlineStr">
        <is>
          <t>1 1/2</t>
        </is>
      </c>
      <c r="C877" s="7" t="inlineStr">
        <is>
          <t>P</t>
        </is>
      </c>
      <c r="D877" s="7" t="inlineStr">
        <is>
          <t>PVC-40</t>
        </is>
      </c>
      <c r="E877" s="7" t="n">
        <v>0.5</v>
      </c>
      <c r="F877" s="7" t="n">
        <v>3</v>
      </c>
      <c r="G877" s="8" t="n"/>
      <c r="H877" s="27" t="n"/>
      <c r="I877" s="27" t="n"/>
      <c r="J877" s="8" t="n"/>
      <c r="K877" s="8" t="n"/>
      <c r="L877" s="10" t="n"/>
      <c r="M877" s="8" t="n"/>
      <c r="N877" s="11">
        <f>IF(OR(J877="",H877="",I877=""),"",J877/((I877-H877)*1440))</f>
        <v/>
      </c>
      <c r="O877" s="7" t="n"/>
      <c r="P877" s="7" t="n"/>
      <c r="Q877" s="7" t="n"/>
      <c r="R877" s="12" t="n"/>
      <c r="S877" s="13">
        <f>IF(OR(R877="",J877=""),"",R877/J877-1)</f>
        <v/>
      </c>
      <c r="T877" s="14">
        <f>IF(OR(L877="",R877="",J877=""),"",SQRT(4+(L877^2-4)*(R877/J877)^2))</f>
        <v/>
      </c>
      <c r="U877" s="7" t="n"/>
      <c r="V877" s="7" t="n"/>
    </row>
    <row r="878">
      <c r="A878" s="7" t="inlineStr">
        <is>
          <t>P-11/2-1-i1</t>
        </is>
      </c>
      <c r="B878" s="7" t="inlineStr">
        <is>
          <t>1 1/2</t>
        </is>
      </c>
      <c r="C878" s="7" t="inlineStr">
        <is>
          <t>P</t>
        </is>
      </c>
      <c r="D878" s="7" t="inlineStr">
        <is>
          <t>PVC-40</t>
        </is>
      </c>
      <c r="E878" s="7" t="n">
        <v>1</v>
      </c>
      <c r="F878" s="7" t="n">
        <v>1</v>
      </c>
      <c r="G878" s="8" t="n"/>
      <c r="H878" s="27" t="n"/>
      <c r="I878" s="27" t="n"/>
      <c r="J878" s="8" t="n"/>
      <c r="K878" s="8" t="n"/>
      <c r="L878" s="10" t="n"/>
      <c r="M878" s="8" t="n"/>
      <c r="N878" s="11">
        <f>IF(OR(J878="",H878="",I878=""),"",J878/((I878-H878)*1440))</f>
        <v/>
      </c>
      <c r="O878" s="7" t="n"/>
      <c r="P878" s="7" t="n"/>
      <c r="Q878" s="7" t="n"/>
      <c r="R878" s="12" t="n"/>
      <c r="S878" s="13">
        <f>IF(OR(R878="",J878=""),"",R878/J878-1)</f>
        <v/>
      </c>
      <c r="T878" s="14">
        <f>IF(OR(L878="",R878="",J878=""),"",SQRT(4+(L878^2-4)*(R878/J878)^2))</f>
        <v/>
      </c>
      <c r="U878" s="7" t="n"/>
      <c r="V878" s="7" t="n"/>
    </row>
    <row r="879">
      <c r="A879" s="7" t="inlineStr">
        <is>
          <t>P-11/2-1-i2</t>
        </is>
      </c>
      <c r="B879" s="7" t="inlineStr">
        <is>
          <t>1 1/2</t>
        </is>
      </c>
      <c r="C879" s="7" t="inlineStr">
        <is>
          <t>P</t>
        </is>
      </c>
      <c r="D879" s="7" t="inlineStr">
        <is>
          <t>PVC-40</t>
        </is>
      </c>
      <c r="E879" s="7" t="n">
        <v>1</v>
      </c>
      <c r="F879" s="7" t="n">
        <v>2</v>
      </c>
      <c r="G879" s="8" t="n"/>
      <c r="H879" s="27" t="n"/>
      <c r="I879" s="27" t="n"/>
      <c r="J879" s="8" t="n"/>
      <c r="K879" s="8" t="n"/>
      <c r="L879" s="10" t="n"/>
      <c r="M879" s="8" t="n"/>
      <c r="N879" s="11">
        <f>IF(OR(J879="",H879="",I879=""),"",J879/((I879-H879)*1440))</f>
        <v/>
      </c>
      <c r="O879" s="7" t="n"/>
      <c r="P879" s="7" t="n"/>
      <c r="Q879" s="7" t="n"/>
      <c r="R879" s="12" t="n"/>
      <c r="S879" s="13">
        <f>IF(OR(R879="",J879=""),"",R879/J879-1)</f>
        <v/>
      </c>
      <c r="T879" s="14">
        <f>IF(OR(L879="",R879="",J879=""),"",SQRT(4+(L879^2-4)*(R879/J879)^2))</f>
        <v/>
      </c>
      <c r="U879" s="7" t="n"/>
      <c r="V879" s="7" t="n"/>
    </row>
    <row r="880">
      <c r="A880" s="7" t="inlineStr">
        <is>
          <t>P-11/2-1-i3</t>
        </is>
      </c>
      <c r="B880" s="7" t="inlineStr">
        <is>
          <t>1 1/2</t>
        </is>
      </c>
      <c r="C880" s="7" t="inlineStr">
        <is>
          <t>P</t>
        </is>
      </c>
      <c r="D880" s="7" t="inlineStr">
        <is>
          <t>PVC-40</t>
        </is>
      </c>
      <c r="E880" s="7" t="n">
        <v>1</v>
      </c>
      <c r="F880" s="7" t="n">
        <v>3</v>
      </c>
      <c r="G880" s="8" t="n"/>
      <c r="H880" s="27" t="n"/>
      <c r="I880" s="27" t="n"/>
      <c r="J880" s="8" t="n"/>
      <c r="K880" s="8" t="n"/>
      <c r="L880" s="10" t="n"/>
      <c r="M880" s="8" t="n"/>
      <c r="N880" s="11">
        <f>IF(OR(J880="",H880="",I880=""),"",J880/((I880-H880)*1440))</f>
        <v/>
      </c>
      <c r="O880" s="7" t="n"/>
      <c r="P880" s="7" t="n"/>
      <c r="Q880" s="7" t="n"/>
      <c r="R880" s="12" t="n"/>
      <c r="S880" s="13">
        <f>IF(OR(R880="",J880=""),"",R880/J880-1)</f>
        <v/>
      </c>
      <c r="T880" s="14">
        <f>IF(OR(L880="",R880="",J880=""),"",SQRT(4+(L880^2-4)*(R880/J880)^2))</f>
        <v/>
      </c>
      <c r="U880" s="7" t="n"/>
      <c r="V880" s="7" t="n"/>
    </row>
    <row r="881">
      <c r="A881" s="7" t="inlineStr">
        <is>
          <t>P-11/2-3-i1</t>
        </is>
      </c>
      <c r="B881" s="7" t="inlineStr">
        <is>
          <t>1 1/2</t>
        </is>
      </c>
      <c r="C881" s="7" t="inlineStr">
        <is>
          <t>P</t>
        </is>
      </c>
      <c r="D881" s="7" t="inlineStr">
        <is>
          <t>PVC-40</t>
        </is>
      </c>
      <c r="E881" s="7" t="n">
        <v>3</v>
      </c>
      <c r="F881" s="7" t="n">
        <v>1</v>
      </c>
      <c r="G881" s="8" t="n"/>
      <c r="H881" s="27" t="n"/>
      <c r="I881" s="27" t="n"/>
      <c r="J881" s="8" t="n"/>
      <c r="K881" s="8" t="n"/>
      <c r="L881" s="10" t="n"/>
      <c r="M881" s="8" t="n"/>
      <c r="N881" s="11">
        <f>IF(OR(J881="",H881="",I881=""),"",J881/((I881-H881)*1440))</f>
        <v/>
      </c>
      <c r="O881" s="7" t="n"/>
      <c r="P881" s="7" t="n"/>
      <c r="Q881" s="7" t="n"/>
      <c r="R881" s="12" t="n"/>
      <c r="S881" s="13">
        <f>IF(OR(R881="",J881=""),"",R881/J881-1)</f>
        <v/>
      </c>
      <c r="T881" s="14">
        <f>IF(OR(L881="",R881="",J881=""),"",SQRT(4+(L881^2-4)*(R881/J881)^2))</f>
        <v/>
      </c>
      <c r="U881" s="7" t="n"/>
      <c r="V881" s="7" t="n"/>
    </row>
    <row r="882">
      <c r="A882" s="7" t="inlineStr">
        <is>
          <t>P-11/2-3-i2</t>
        </is>
      </c>
      <c r="B882" s="7" t="inlineStr">
        <is>
          <t>1 1/2</t>
        </is>
      </c>
      <c r="C882" s="7" t="inlineStr">
        <is>
          <t>P</t>
        </is>
      </c>
      <c r="D882" s="7" t="inlineStr">
        <is>
          <t>PVC-40</t>
        </is>
      </c>
      <c r="E882" s="7" t="n">
        <v>3</v>
      </c>
      <c r="F882" s="7" t="n">
        <v>2</v>
      </c>
      <c r="G882" s="8" t="n"/>
      <c r="H882" s="27" t="n"/>
      <c r="I882" s="27" t="n"/>
      <c r="J882" s="8" t="n"/>
      <c r="K882" s="8" t="n"/>
      <c r="L882" s="10" t="n"/>
      <c r="M882" s="8" t="n"/>
      <c r="N882" s="11">
        <f>IF(OR(J882="",H882="",I882=""),"",J882/((I882-H882)*1440))</f>
        <v/>
      </c>
      <c r="O882" s="7" t="n"/>
      <c r="P882" s="7" t="n"/>
      <c r="Q882" s="7" t="n"/>
      <c r="R882" s="12" t="n"/>
      <c r="S882" s="13">
        <f>IF(OR(R882="",J882=""),"",R882/J882-1)</f>
        <v/>
      </c>
      <c r="T882" s="14">
        <f>IF(OR(L882="",R882="",J882=""),"",SQRT(4+(L882^2-4)*(R882/J882)^2))</f>
        <v/>
      </c>
      <c r="U882" s="7" t="n"/>
      <c r="V882" s="7" t="n"/>
    </row>
    <row r="883">
      <c r="A883" s="7" t="inlineStr">
        <is>
          <t>P-11/2-3-i3</t>
        </is>
      </c>
      <c r="B883" s="7" t="inlineStr">
        <is>
          <t>1 1/2</t>
        </is>
      </c>
      <c r="C883" s="7" t="inlineStr">
        <is>
          <t>P</t>
        </is>
      </c>
      <c r="D883" s="7" t="inlineStr">
        <is>
          <t>PVC-40</t>
        </is>
      </c>
      <c r="E883" s="7" t="n">
        <v>3</v>
      </c>
      <c r="F883" s="7" t="n">
        <v>3</v>
      </c>
      <c r="G883" s="8" t="n"/>
      <c r="H883" s="27" t="n"/>
      <c r="I883" s="27" t="n"/>
      <c r="J883" s="8" t="n"/>
      <c r="K883" s="8" t="n"/>
      <c r="L883" s="10" t="n"/>
      <c r="M883" s="8" t="n"/>
      <c r="N883" s="11">
        <f>IF(OR(J883="",H883="",I883=""),"",J883/((I883-H883)*1440))</f>
        <v/>
      </c>
      <c r="O883" s="7" t="n"/>
      <c r="P883" s="7" t="n"/>
      <c r="Q883" s="7" t="n"/>
      <c r="R883" s="12" t="n"/>
      <c r="S883" s="13">
        <f>IF(OR(R883="",J883=""),"",R883/J883-1)</f>
        <v/>
      </c>
      <c r="T883" s="14">
        <f>IF(OR(L883="",R883="",J883=""),"",SQRT(4+(L883^2-4)*(R883/J883)^2))</f>
        <v/>
      </c>
      <c r="U883" s="7" t="n"/>
      <c r="V883" s="7" t="n"/>
    </row>
    <row r="884">
      <c r="A884" s="7" t="inlineStr">
        <is>
          <t>P-11/2-5-i1</t>
        </is>
      </c>
      <c r="B884" s="7" t="inlineStr">
        <is>
          <t>1 1/2</t>
        </is>
      </c>
      <c r="C884" s="7" t="inlineStr">
        <is>
          <t>P</t>
        </is>
      </c>
      <c r="D884" s="7" t="inlineStr">
        <is>
          <t>PVC-40</t>
        </is>
      </c>
      <c r="E884" s="7" t="n">
        <v>5</v>
      </c>
      <c r="F884" s="7" t="n">
        <v>1</v>
      </c>
      <c r="G884" s="8" t="n"/>
      <c r="H884" s="27" t="n"/>
      <c r="I884" s="27" t="n"/>
      <c r="J884" s="8" t="n"/>
      <c r="K884" s="8" t="n"/>
      <c r="L884" s="10" t="n"/>
      <c r="M884" s="8" t="n"/>
      <c r="N884" s="11">
        <f>IF(OR(J884="",H884="",I884=""),"",J884/((I884-H884)*1440))</f>
        <v/>
      </c>
      <c r="O884" s="7" t="n"/>
      <c r="P884" s="7" t="n"/>
      <c r="Q884" s="7" t="n"/>
      <c r="R884" s="12" t="n"/>
      <c r="S884" s="13">
        <f>IF(OR(R884="",J884=""),"",R884/J884-1)</f>
        <v/>
      </c>
      <c r="T884" s="14">
        <f>IF(OR(L884="",R884="",J884=""),"",SQRT(4+(L884^2-4)*(R884/J884)^2))</f>
        <v/>
      </c>
      <c r="U884" s="7" t="n"/>
      <c r="V884" s="7" t="n"/>
    </row>
    <row r="885">
      <c r="A885" s="7" t="inlineStr">
        <is>
          <t>P-11/2-5-i2</t>
        </is>
      </c>
      <c r="B885" s="7" t="inlineStr">
        <is>
          <t>1 1/2</t>
        </is>
      </c>
      <c r="C885" s="7" t="inlineStr">
        <is>
          <t>P</t>
        </is>
      </c>
      <c r="D885" s="7" t="inlineStr">
        <is>
          <t>PVC-40</t>
        </is>
      </c>
      <c r="E885" s="7" t="n">
        <v>5</v>
      </c>
      <c r="F885" s="7" t="n">
        <v>2</v>
      </c>
      <c r="G885" s="8" t="n"/>
      <c r="H885" s="27" t="n"/>
      <c r="I885" s="27" t="n"/>
      <c r="J885" s="8" t="n"/>
      <c r="K885" s="8" t="n"/>
      <c r="L885" s="10" t="n"/>
      <c r="M885" s="8" t="n"/>
      <c r="N885" s="11">
        <f>IF(OR(J885="",H885="",I885=""),"",J885/((I885-H885)*1440))</f>
        <v/>
      </c>
      <c r="O885" s="7" t="n"/>
      <c r="P885" s="7" t="n"/>
      <c r="Q885" s="7" t="n"/>
      <c r="R885" s="12" t="n"/>
      <c r="S885" s="13">
        <f>IF(OR(R885="",J885=""),"",R885/J885-1)</f>
        <v/>
      </c>
      <c r="T885" s="14">
        <f>IF(OR(L885="",R885="",J885=""),"",SQRT(4+(L885^2-4)*(R885/J885)^2))</f>
        <v/>
      </c>
      <c r="U885" s="7" t="n"/>
      <c r="V885" s="7" t="n"/>
    </row>
    <row r="886">
      <c r="A886" s="7" t="inlineStr">
        <is>
          <t>P-11/2-5-i3</t>
        </is>
      </c>
      <c r="B886" s="7" t="inlineStr">
        <is>
          <t>1 1/2</t>
        </is>
      </c>
      <c r="C886" s="7" t="inlineStr">
        <is>
          <t>P</t>
        </is>
      </c>
      <c r="D886" s="7" t="inlineStr">
        <is>
          <t>PVC-40</t>
        </is>
      </c>
      <c r="E886" s="7" t="n">
        <v>5</v>
      </c>
      <c r="F886" s="7" t="n">
        <v>3</v>
      </c>
      <c r="G886" s="8" t="n"/>
      <c r="H886" s="27" t="n"/>
      <c r="I886" s="27" t="n"/>
      <c r="J886" s="8" t="n"/>
      <c r="K886" s="8" t="n"/>
      <c r="L886" s="10" t="n"/>
      <c r="M886" s="8" t="n"/>
      <c r="N886" s="11">
        <f>IF(OR(J886="",H886="",I886=""),"",J886/((I886-H886)*1440))</f>
        <v/>
      </c>
      <c r="O886" s="7" t="n"/>
      <c r="P886" s="7" t="n"/>
      <c r="Q886" s="7" t="n"/>
      <c r="R886" s="12" t="n"/>
      <c r="S886" s="13">
        <f>IF(OR(R886="",J886=""),"",R886/J886-1)</f>
        <v/>
      </c>
      <c r="T886" s="14">
        <f>IF(OR(L886="",R886="",J886=""),"",SQRT(4+(L886^2-4)*(R886/J886)^2))</f>
        <v/>
      </c>
      <c r="U886" s="7" t="n"/>
      <c r="V886" s="7" t="n"/>
    </row>
    <row r="887">
      <c r="A887" s="7" t="inlineStr">
        <is>
          <t>P-11/2-10-i1</t>
        </is>
      </c>
      <c r="B887" s="7" t="inlineStr">
        <is>
          <t>1 1/2</t>
        </is>
      </c>
      <c r="C887" s="7" t="inlineStr">
        <is>
          <t>P</t>
        </is>
      </c>
      <c r="D887" s="7" t="inlineStr">
        <is>
          <t>PVC-40</t>
        </is>
      </c>
      <c r="E887" s="7" t="n">
        <v>10</v>
      </c>
      <c r="F887" s="7" t="n">
        <v>1</v>
      </c>
      <c r="G887" s="8" t="n"/>
      <c r="H887" s="27" t="n"/>
      <c r="I887" s="27" t="n"/>
      <c r="J887" s="8" t="n"/>
      <c r="K887" s="8" t="n"/>
      <c r="L887" s="10" t="n"/>
      <c r="M887" s="8" t="n"/>
      <c r="N887" s="11">
        <f>IF(OR(J887="",H887="",I887=""),"",J887/((I887-H887)*1440))</f>
        <v/>
      </c>
      <c r="O887" s="7" t="n"/>
      <c r="P887" s="7" t="n"/>
      <c r="Q887" s="7" t="n"/>
      <c r="R887" s="12" t="n"/>
      <c r="S887" s="13">
        <f>IF(OR(R887="",J887=""),"",R887/J887-1)</f>
        <v/>
      </c>
      <c r="T887" s="14">
        <f>IF(OR(L887="",R887="",J887=""),"",SQRT(4+(L887^2-4)*(R887/J887)^2))</f>
        <v/>
      </c>
      <c r="U887" s="7" t="n"/>
      <c r="V887" s="7" t="n"/>
    </row>
    <row r="888">
      <c r="A888" s="7" t="inlineStr">
        <is>
          <t>P-11/2-10-i2</t>
        </is>
      </c>
      <c r="B888" s="7" t="inlineStr">
        <is>
          <t>1 1/2</t>
        </is>
      </c>
      <c r="C888" s="7" t="inlineStr">
        <is>
          <t>P</t>
        </is>
      </c>
      <c r="D888" s="7" t="inlineStr">
        <is>
          <t>PVC-40</t>
        </is>
      </c>
      <c r="E888" s="7" t="n">
        <v>10</v>
      </c>
      <c r="F888" s="7" t="n">
        <v>2</v>
      </c>
      <c r="G888" s="8" t="n"/>
      <c r="H888" s="27" t="n"/>
      <c r="I888" s="27" t="n"/>
      <c r="J888" s="8" t="n"/>
      <c r="K888" s="8" t="n"/>
      <c r="L888" s="10" t="n"/>
      <c r="M888" s="8" t="n"/>
      <c r="N888" s="11">
        <f>IF(OR(J888="",H888="",I888=""),"",J888/((I888-H888)*1440))</f>
        <v/>
      </c>
      <c r="O888" s="7" t="n"/>
      <c r="P888" s="7" t="n"/>
      <c r="Q888" s="7" t="n"/>
      <c r="R888" s="12" t="n"/>
      <c r="S888" s="13">
        <f>IF(OR(R888="",J888=""),"",R888/J888-1)</f>
        <v/>
      </c>
      <c r="T888" s="14">
        <f>IF(OR(L888="",R888="",J888=""),"",SQRT(4+(L888^2-4)*(R888/J888)^2))</f>
        <v/>
      </c>
      <c r="U888" s="7" t="n"/>
      <c r="V888" s="7" t="n"/>
    </row>
    <row r="889">
      <c r="A889" s="7" t="inlineStr">
        <is>
          <t>P-11/2-10-i3</t>
        </is>
      </c>
      <c r="B889" s="7" t="inlineStr">
        <is>
          <t>1 1/2</t>
        </is>
      </c>
      <c r="C889" s="7" t="inlineStr">
        <is>
          <t>P</t>
        </is>
      </c>
      <c r="D889" s="7" t="inlineStr">
        <is>
          <t>PVC-40</t>
        </is>
      </c>
      <c r="E889" s="7" t="n">
        <v>10</v>
      </c>
      <c r="F889" s="7" t="n">
        <v>3</v>
      </c>
      <c r="G889" s="8" t="n"/>
      <c r="H889" s="27" t="n"/>
      <c r="I889" s="27" t="n"/>
      <c r="J889" s="8" t="n"/>
      <c r="K889" s="8" t="n"/>
      <c r="L889" s="10" t="n"/>
      <c r="M889" s="8" t="n"/>
      <c r="N889" s="11">
        <f>IF(OR(J889="",H889="",I889=""),"",J889/((I889-H889)*1440))</f>
        <v/>
      </c>
      <c r="O889" s="7" t="n"/>
      <c r="P889" s="7" t="n"/>
      <c r="Q889" s="7" t="n"/>
      <c r="R889" s="12" t="n"/>
      <c r="S889" s="13">
        <f>IF(OR(R889="",J889=""),"",R889/J889-1)</f>
        <v/>
      </c>
      <c r="T889" s="14">
        <f>IF(OR(L889="",R889="",J889=""),"",SQRT(4+(L889^2-4)*(R889/J889)^2))</f>
        <v/>
      </c>
      <c r="U889" s="7" t="n"/>
      <c r="V889" s="7" t="n"/>
    </row>
    <row r="890">
      <c r="A890" s="7" t="inlineStr">
        <is>
          <t>X-11/2-0.5-i1</t>
        </is>
      </c>
      <c r="B890" s="7" t="inlineStr">
        <is>
          <t>1 1/2</t>
        </is>
      </c>
      <c r="C890" s="7" t="inlineStr">
        <is>
          <t>X</t>
        </is>
      </c>
      <c r="D890" s="7" t="inlineStr">
        <is>
          <t>PEX-A</t>
        </is>
      </c>
      <c r="E890" s="7" t="n">
        <v>0.5</v>
      </c>
      <c r="F890" s="7" t="n">
        <v>1</v>
      </c>
      <c r="G890" s="8" t="n"/>
      <c r="H890" s="27" t="n"/>
      <c r="I890" s="27" t="n"/>
      <c r="J890" s="8" t="n"/>
      <c r="K890" s="8" t="n"/>
      <c r="L890" s="10" t="n"/>
      <c r="M890" s="8" t="n"/>
      <c r="N890" s="11">
        <f>IF(OR(J890="",H890="",I890=""),"",J890/((I890-H890)*1440))</f>
        <v/>
      </c>
      <c r="O890" s="7" t="n"/>
      <c r="P890" s="7" t="n"/>
      <c r="Q890" s="7" t="n"/>
      <c r="R890" s="12" t="n"/>
      <c r="S890" s="13">
        <f>IF(OR(R890="",J890=""),"",R890/J890-1)</f>
        <v/>
      </c>
      <c r="T890" s="14">
        <f>IF(OR(L890="",R890="",J890=""),"",SQRT(4+(L890^2-4)*(R890/J890)^2))</f>
        <v/>
      </c>
      <c r="U890" s="7" t="n"/>
      <c r="V890" s="7" t="n"/>
    </row>
    <row r="891">
      <c r="A891" s="7" t="inlineStr">
        <is>
          <t>X-11/2-0.5-i2</t>
        </is>
      </c>
      <c r="B891" s="7" t="inlineStr">
        <is>
          <t>1 1/2</t>
        </is>
      </c>
      <c r="C891" s="7" t="inlineStr">
        <is>
          <t>X</t>
        </is>
      </c>
      <c r="D891" s="7" t="inlineStr">
        <is>
          <t>PEX-A</t>
        </is>
      </c>
      <c r="E891" s="7" t="n">
        <v>0.5</v>
      </c>
      <c r="F891" s="7" t="n">
        <v>2</v>
      </c>
      <c r="G891" s="8" t="n"/>
      <c r="H891" s="27" t="n"/>
      <c r="I891" s="27" t="n"/>
      <c r="J891" s="8" t="n"/>
      <c r="K891" s="8" t="n"/>
      <c r="L891" s="10" t="n"/>
      <c r="M891" s="8" t="n"/>
      <c r="N891" s="11">
        <f>IF(OR(J891="",H891="",I891=""),"",J891/((I891-H891)*1440))</f>
        <v/>
      </c>
      <c r="O891" s="7" t="n"/>
      <c r="P891" s="7" t="n"/>
      <c r="Q891" s="7" t="n"/>
      <c r="R891" s="12" t="n"/>
      <c r="S891" s="13">
        <f>IF(OR(R891="",J891=""),"",R891/J891-1)</f>
        <v/>
      </c>
      <c r="T891" s="14">
        <f>IF(OR(L891="",R891="",J891=""),"",SQRT(4+(L891^2-4)*(R891/J891)^2))</f>
        <v/>
      </c>
      <c r="U891" s="7" t="n"/>
      <c r="V891" s="7" t="n"/>
    </row>
    <row r="892">
      <c r="A892" s="7" t="inlineStr">
        <is>
          <t>X-11/2-0.5-i3</t>
        </is>
      </c>
      <c r="B892" s="7" t="inlineStr">
        <is>
          <t>1 1/2</t>
        </is>
      </c>
      <c r="C892" s="7" t="inlineStr">
        <is>
          <t>X</t>
        </is>
      </c>
      <c r="D892" s="7" t="inlineStr">
        <is>
          <t>PEX-A</t>
        </is>
      </c>
      <c r="E892" s="7" t="n">
        <v>0.5</v>
      </c>
      <c r="F892" s="7" t="n">
        <v>3</v>
      </c>
      <c r="G892" s="8" t="n"/>
      <c r="H892" s="27" t="n"/>
      <c r="I892" s="27" t="n"/>
      <c r="J892" s="8" t="n"/>
      <c r="K892" s="8" t="n"/>
      <c r="L892" s="10" t="n"/>
      <c r="M892" s="8" t="n"/>
      <c r="N892" s="11">
        <f>IF(OR(J892="",H892="",I892=""),"",J892/((I892-H892)*1440))</f>
        <v/>
      </c>
      <c r="O892" s="7" t="n"/>
      <c r="P892" s="7" t="n"/>
      <c r="Q892" s="7" t="n"/>
      <c r="R892" s="12" t="n"/>
      <c r="S892" s="13">
        <f>IF(OR(R892="",J892=""),"",R892/J892-1)</f>
        <v/>
      </c>
      <c r="T892" s="14">
        <f>IF(OR(L892="",R892="",J892=""),"",SQRT(4+(L892^2-4)*(R892/J892)^2))</f>
        <v/>
      </c>
      <c r="U892" s="7" t="n"/>
      <c r="V892" s="7" t="n"/>
    </row>
    <row r="893">
      <c r="A893" s="7" t="inlineStr">
        <is>
          <t>X-11/2-1-i1</t>
        </is>
      </c>
      <c r="B893" s="7" t="inlineStr">
        <is>
          <t>1 1/2</t>
        </is>
      </c>
      <c r="C893" s="7" t="inlineStr">
        <is>
          <t>X</t>
        </is>
      </c>
      <c r="D893" s="7" t="inlineStr">
        <is>
          <t>PEX-A</t>
        </is>
      </c>
      <c r="E893" s="7" t="n">
        <v>1</v>
      </c>
      <c r="F893" s="7" t="n">
        <v>1</v>
      </c>
      <c r="G893" s="8" t="n"/>
      <c r="H893" s="27" t="n"/>
      <c r="I893" s="27" t="n"/>
      <c r="J893" s="8" t="n"/>
      <c r="K893" s="8" t="n"/>
      <c r="L893" s="10" t="n"/>
      <c r="M893" s="8" t="n"/>
      <c r="N893" s="11">
        <f>IF(OR(J893="",H893="",I893=""),"",J893/((I893-H893)*1440))</f>
        <v/>
      </c>
      <c r="O893" s="7" t="n"/>
      <c r="P893" s="7" t="n"/>
      <c r="Q893" s="7" t="n"/>
      <c r="R893" s="12" t="n"/>
      <c r="S893" s="13">
        <f>IF(OR(R893="",J893=""),"",R893/J893-1)</f>
        <v/>
      </c>
      <c r="T893" s="14">
        <f>IF(OR(L893="",R893="",J893=""),"",SQRT(4+(L893^2-4)*(R893/J893)^2))</f>
        <v/>
      </c>
      <c r="U893" s="7" t="n"/>
      <c r="V893" s="7" t="n"/>
    </row>
    <row r="894">
      <c r="A894" s="7" t="inlineStr">
        <is>
          <t>X-11/2-1-i2</t>
        </is>
      </c>
      <c r="B894" s="7" t="inlineStr">
        <is>
          <t>1 1/2</t>
        </is>
      </c>
      <c r="C894" s="7" t="inlineStr">
        <is>
          <t>X</t>
        </is>
      </c>
      <c r="D894" s="7" t="inlineStr">
        <is>
          <t>PEX-A</t>
        </is>
      </c>
      <c r="E894" s="7" t="n">
        <v>1</v>
      </c>
      <c r="F894" s="7" t="n">
        <v>2</v>
      </c>
      <c r="G894" s="8" t="n"/>
      <c r="H894" s="27" t="n"/>
      <c r="I894" s="27" t="n"/>
      <c r="J894" s="8" t="n"/>
      <c r="K894" s="8" t="n"/>
      <c r="L894" s="10" t="n"/>
      <c r="M894" s="8" t="n"/>
      <c r="N894" s="11">
        <f>IF(OR(J894="",H894="",I894=""),"",J894/((I894-H894)*1440))</f>
        <v/>
      </c>
      <c r="O894" s="7" t="n"/>
      <c r="P894" s="7" t="n"/>
      <c r="Q894" s="7" t="n"/>
      <c r="R894" s="12" t="n"/>
      <c r="S894" s="13">
        <f>IF(OR(R894="",J894=""),"",R894/J894-1)</f>
        <v/>
      </c>
      <c r="T894" s="14">
        <f>IF(OR(L894="",R894="",J894=""),"",SQRT(4+(L894^2-4)*(R894/J894)^2))</f>
        <v/>
      </c>
      <c r="U894" s="7" t="n"/>
      <c r="V894" s="7" t="n"/>
    </row>
    <row r="895">
      <c r="A895" s="7" t="inlineStr">
        <is>
          <t>X-11/2-1-i3</t>
        </is>
      </c>
      <c r="B895" s="7" t="inlineStr">
        <is>
          <t>1 1/2</t>
        </is>
      </c>
      <c r="C895" s="7" t="inlineStr">
        <is>
          <t>X</t>
        </is>
      </c>
      <c r="D895" s="7" t="inlineStr">
        <is>
          <t>PEX-A</t>
        </is>
      </c>
      <c r="E895" s="7" t="n">
        <v>1</v>
      </c>
      <c r="F895" s="7" t="n">
        <v>3</v>
      </c>
      <c r="G895" s="8" t="n"/>
      <c r="H895" s="27" t="n"/>
      <c r="I895" s="27" t="n"/>
      <c r="J895" s="8" t="n"/>
      <c r="K895" s="8" t="n"/>
      <c r="L895" s="10" t="n"/>
      <c r="M895" s="8" t="n"/>
      <c r="N895" s="11">
        <f>IF(OR(J895="",H895="",I895=""),"",J895/((I895-H895)*1440))</f>
        <v/>
      </c>
      <c r="O895" s="7" t="n"/>
      <c r="P895" s="7" t="n"/>
      <c r="Q895" s="7" t="n"/>
      <c r="R895" s="12" t="n"/>
      <c r="S895" s="13">
        <f>IF(OR(R895="",J895=""),"",R895/J895-1)</f>
        <v/>
      </c>
      <c r="T895" s="14">
        <f>IF(OR(L895="",R895="",J895=""),"",SQRT(4+(L895^2-4)*(R895/J895)^2))</f>
        <v/>
      </c>
      <c r="U895" s="7" t="n"/>
      <c r="V895" s="7" t="n"/>
    </row>
    <row r="896">
      <c r="A896" s="7" t="inlineStr">
        <is>
          <t>X-11/2-3-i1</t>
        </is>
      </c>
      <c r="B896" s="7" t="inlineStr">
        <is>
          <t>1 1/2</t>
        </is>
      </c>
      <c r="C896" s="7" t="inlineStr">
        <is>
          <t>X</t>
        </is>
      </c>
      <c r="D896" s="7" t="inlineStr">
        <is>
          <t>PEX-A</t>
        </is>
      </c>
      <c r="E896" s="7" t="n">
        <v>3</v>
      </c>
      <c r="F896" s="7" t="n">
        <v>1</v>
      </c>
      <c r="G896" s="8" t="n"/>
      <c r="H896" s="27" t="n"/>
      <c r="I896" s="27" t="n"/>
      <c r="J896" s="8" t="n"/>
      <c r="K896" s="8" t="n"/>
      <c r="L896" s="10" t="n"/>
      <c r="M896" s="8" t="n"/>
      <c r="N896" s="11">
        <f>IF(OR(J896="",H896="",I896=""),"",J896/((I896-H896)*1440))</f>
        <v/>
      </c>
      <c r="O896" s="7" t="n"/>
      <c r="P896" s="7" t="n"/>
      <c r="Q896" s="7" t="n"/>
      <c r="R896" s="12" t="n"/>
      <c r="S896" s="13">
        <f>IF(OR(R896="",J896=""),"",R896/J896-1)</f>
        <v/>
      </c>
      <c r="T896" s="14">
        <f>IF(OR(L896="",R896="",J896=""),"",SQRT(4+(L896^2-4)*(R896/J896)^2))</f>
        <v/>
      </c>
      <c r="U896" s="7" t="n"/>
      <c r="V896" s="7" t="n"/>
    </row>
    <row r="897">
      <c r="A897" s="7" t="inlineStr">
        <is>
          <t>X-11/2-3-i2</t>
        </is>
      </c>
      <c r="B897" s="7" t="inlineStr">
        <is>
          <t>1 1/2</t>
        </is>
      </c>
      <c r="C897" s="7" t="inlineStr">
        <is>
          <t>X</t>
        </is>
      </c>
      <c r="D897" s="7" t="inlineStr">
        <is>
          <t>PEX-A</t>
        </is>
      </c>
      <c r="E897" s="7" t="n">
        <v>3</v>
      </c>
      <c r="F897" s="7" t="n">
        <v>2</v>
      </c>
      <c r="G897" s="8" t="n"/>
      <c r="H897" s="27" t="n"/>
      <c r="I897" s="27" t="n"/>
      <c r="J897" s="8" t="n"/>
      <c r="K897" s="8" t="n"/>
      <c r="L897" s="10" t="n"/>
      <c r="M897" s="8" t="n"/>
      <c r="N897" s="11">
        <f>IF(OR(J897="",H897="",I897=""),"",J897/((I897-H897)*1440))</f>
        <v/>
      </c>
      <c r="O897" s="7" t="n"/>
      <c r="P897" s="7" t="n"/>
      <c r="Q897" s="7" t="n"/>
      <c r="R897" s="12" t="n"/>
      <c r="S897" s="13">
        <f>IF(OR(R897="",J897=""),"",R897/J897-1)</f>
        <v/>
      </c>
      <c r="T897" s="14">
        <f>IF(OR(L897="",R897="",J897=""),"",SQRT(4+(L897^2-4)*(R897/J897)^2))</f>
        <v/>
      </c>
      <c r="U897" s="7" t="n"/>
      <c r="V897" s="7" t="n"/>
    </row>
    <row r="898">
      <c r="A898" s="7" t="inlineStr">
        <is>
          <t>X-11/2-3-i3</t>
        </is>
      </c>
      <c r="B898" s="7" t="inlineStr">
        <is>
          <t>1 1/2</t>
        </is>
      </c>
      <c r="C898" s="7" t="inlineStr">
        <is>
          <t>X</t>
        </is>
      </c>
      <c r="D898" s="7" t="inlineStr">
        <is>
          <t>PEX-A</t>
        </is>
      </c>
      <c r="E898" s="7" t="n">
        <v>3</v>
      </c>
      <c r="F898" s="7" t="n">
        <v>3</v>
      </c>
      <c r="G898" s="8" t="n"/>
      <c r="H898" s="27" t="n"/>
      <c r="I898" s="27" t="n"/>
      <c r="J898" s="8" t="n"/>
      <c r="K898" s="8" t="n"/>
      <c r="L898" s="10" t="n"/>
      <c r="M898" s="8" t="n"/>
      <c r="N898" s="11">
        <f>IF(OR(J898="",H898="",I898=""),"",J898/((I898-H898)*1440))</f>
        <v/>
      </c>
      <c r="O898" s="7" t="n"/>
      <c r="P898" s="7" t="n"/>
      <c r="Q898" s="7" t="n"/>
      <c r="R898" s="12" t="n"/>
      <c r="S898" s="13">
        <f>IF(OR(R898="",J898=""),"",R898/J898-1)</f>
        <v/>
      </c>
      <c r="T898" s="14">
        <f>IF(OR(L898="",R898="",J898=""),"",SQRT(4+(L898^2-4)*(R898/J898)^2))</f>
        <v/>
      </c>
      <c r="U898" s="7" t="n"/>
      <c r="V898" s="7" t="n"/>
    </row>
    <row r="899">
      <c r="A899" s="7" t="inlineStr">
        <is>
          <t>X-11/2-5-i1</t>
        </is>
      </c>
      <c r="B899" s="7" t="inlineStr">
        <is>
          <t>1 1/2</t>
        </is>
      </c>
      <c r="C899" s="7" t="inlineStr">
        <is>
          <t>X</t>
        </is>
      </c>
      <c r="D899" s="7" t="inlineStr">
        <is>
          <t>PEX-A</t>
        </is>
      </c>
      <c r="E899" s="7" t="n">
        <v>5</v>
      </c>
      <c r="F899" s="7" t="n">
        <v>1</v>
      </c>
      <c r="G899" s="8" t="n"/>
      <c r="H899" s="27" t="n"/>
      <c r="I899" s="27" t="n"/>
      <c r="J899" s="8" t="n"/>
      <c r="K899" s="8" t="n"/>
      <c r="L899" s="10" t="n"/>
      <c r="M899" s="8" t="n"/>
      <c r="N899" s="11">
        <f>IF(OR(J899="",H899="",I899=""),"",J899/((I899-H899)*1440))</f>
        <v/>
      </c>
      <c r="O899" s="7" t="n"/>
      <c r="P899" s="7" t="n"/>
      <c r="Q899" s="7" t="n"/>
      <c r="R899" s="12" t="n"/>
      <c r="S899" s="13">
        <f>IF(OR(R899="",J899=""),"",R899/J899-1)</f>
        <v/>
      </c>
      <c r="T899" s="14">
        <f>IF(OR(L899="",R899="",J899=""),"",SQRT(4+(L899^2-4)*(R899/J899)^2))</f>
        <v/>
      </c>
      <c r="U899" s="7" t="n"/>
      <c r="V899" s="7" t="n"/>
    </row>
    <row r="900">
      <c r="A900" s="7" t="inlineStr">
        <is>
          <t>X-11/2-5-i2</t>
        </is>
      </c>
      <c r="B900" s="7" t="inlineStr">
        <is>
          <t>1 1/2</t>
        </is>
      </c>
      <c r="C900" s="7" t="inlineStr">
        <is>
          <t>X</t>
        </is>
      </c>
      <c r="D900" s="7" t="inlineStr">
        <is>
          <t>PEX-A</t>
        </is>
      </c>
      <c r="E900" s="7" t="n">
        <v>5</v>
      </c>
      <c r="F900" s="7" t="n">
        <v>2</v>
      </c>
      <c r="G900" s="8" t="n"/>
      <c r="H900" s="27" t="n"/>
      <c r="I900" s="27" t="n"/>
      <c r="J900" s="8" t="n"/>
      <c r="K900" s="8" t="n"/>
      <c r="L900" s="10" t="n"/>
      <c r="M900" s="8" t="n"/>
      <c r="N900" s="11">
        <f>IF(OR(J900="",H900="",I900=""),"",J900/((I900-H900)*1440))</f>
        <v/>
      </c>
      <c r="O900" s="7" t="n"/>
      <c r="P900" s="7" t="n"/>
      <c r="Q900" s="7" t="n"/>
      <c r="R900" s="12" t="n"/>
      <c r="S900" s="13">
        <f>IF(OR(R900="",J900=""),"",R900/J900-1)</f>
        <v/>
      </c>
      <c r="T900" s="14">
        <f>IF(OR(L900="",R900="",J900=""),"",SQRT(4+(L900^2-4)*(R900/J900)^2))</f>
        <v/>
      </c>
      <c r="U900" s="7" t="n"/>
      <c r="V900" s="7" t="n"/>
    </row>
    <row r="901">
      <c r="A901" s="7" t="inlineStr">
        <is>
          <t>X-11/2-5-i3</t>
        </is>
      </c>
      <c r="B901" s="7" t="inlineStr">
        <is>
          <t>1 1/2</t>
        </is>
      </c>
      <c r="C901" s="7" t="inlineStr">
        <is>
          <t>X</t>
        </is>
      </c>
      <c r="D901" s="7" t="inlineStr">
        <is>
          <t>PEX-A</t>
        </is>
      </c>
      <c r="E901" s="7" t="n">
        <v>5</v>
      </c>
      <c r="F901" s="7" t="n">
        <v>3</v>
      </c>
      <c r="G901" s="8" t="n"/>
      <c r="H901" s="27" t="n"/>
      <c r="I901" s="27" t="n"/>
      <c r="J901" s="8" t="n"/>
      <c r="K901" s="8" t="n"/>
      <c r="L901" s="10" t="n"/>
      <c r="M901" s="8" t="n"/>
      <c r="N901" s="11">
        <f>IF(OR(J901="",H901="",I901=""),"",J901/((I901-H901)*1440))</f>
        <v/>
      </c>
      <c r="O901" s="7" t="n"/>
      <c r="P901" s="7" t="n"/>
      <c r="Q901" s="7" t="n"/>
      <c r="R901" s="12" t="n"/>
      <c r="S901" s="13">
        <f>IF(OR(R901="",J901=""),"",R901/J901-1)</f>
        <v/>
      </c>
      <c r="T901" s="14">
        <f>IF(OR(L901="",R901="",J901=""),"",SQRT(4+(L901^2-4)*(R901/J901)^2))</f>
        <v/>
      </c>
      <c r="U901" s="7" t="n"/>
      <c r="V901" s="7" t="n"/>
    </row>
    <row r="902">
      <c r="A902" s="7" t="inlineStr">
        <is>
          <t>X-11/2-10-i1</t>
        </is>
      </c>
      <c r="B902" s="7" t="inlineStr">
        <is>
          <t>1 1/2</t>
        </is>
      </c>
      <c r="C902" s="7" t="inlineStr">
        <is>
          <t>X</t>
        </is>
      </c>
      <c r="D902" s="7" t="inlineStr">
        <is>
          <t>PEX-A</t>
        </is>
      </c>
      <c r="E902" s="7" t="n">
        <v>10</v>
      </c>
      <c r="F902" s="7" t="n">
        <v>1</v>
      </c>
      <c r="G902" s="8" t="n"/>
      <c r="H902" s="27" t="n"/>
      <c r="I902" s="27" t="n"/>
      <c r="J902" s="8" t="n"/>
      <c r="K902" s="8" t="n"/>
      <c r="L902" s="10" t="n"/>
      <c r="M902" s="8" t="n"/>
      <c r="N902" s="11">
        <f>IF(OR(J902="",H902="",I902=""),"",J902/((I902-H902)*1440))</f>
        <v/>
      </c>
      <c r="O902" s="7" t="n"/>
      <c r="P902" s="7" t="n"/>
      <c r="Q902" s="7" t="n"/>
      <c r="R902" s="12" t="n"/>
      <c r="S902" s="13">
        <f>IF(OR(R902="",J902=""),"",R902/J902-1)</f>
        <v/>
      </c>
      <c r="T902" s="14">
        <f>IF(OR(L902="",R902="",J902=""),"",SQRT(4+(L902^2-4)*(R902/J902)^2))</f>
        <v/>
      </c>
      <c r="U902" s="7" t="n"/>
      <c r="V902" s="7" t="n"/>
    </row>
    <row r="903">
      <c r="A903" s="7" t="inlineStr">
        <is>
          <t>X-11/2-10-i2</t>
        </is>
      </c>
      <c r="B903" s="7" t="inlineStr">
        <is>
          <t>1 1/2</t>
        </is>
      </c>
      <c r="C903" s="7" t="inlineStr">
        <is>
          <t>X</t>
        </is>
      </c>
      <c r="D903" s="7" t="inlineStr">
        <is>
          <t>PEX-A</t>
        </is>
      </c>
      <c r="E903" s="7" t="n">
        <v>10</v>
      </c>
      <c r="F903" s="7" t="n">
        <v>2</v>
      </c>
      <c r="G903" s="8" t="n"/>
      <c r="H903" s="27" t="n"/>
      <c r="I903" s="27" t="n"/>
      <c r="J903" s="8" t="n"/>
      <c r="K903" s="8" t="n"/>
      <c r="L903" s="10" t="n"/>
      <c r="M903" s="8" t="n"/>
      <c r="N903" s="11">
        <f>IF(OR(J903="",H903="",I903=""),"",J903/((I903-H903)*1440))</f>
        <v/>
      </c>
      <c r="O903" s="7" t="n"/>
      <c r="P903" s="7" t="n"/>
      <c r="Q903" s="7" t="n"/>
      <c r="R903" s="12" t="n"/>
      <c r="S903" s="13">
        <f>IF(OR(R903="",J903=""),"",R903/J903-1)</f>
        <v/>
      </c>
      <c r="T903" s="14">
        <f>IF(OR(L903="",R903="",J903=""),"",SQRT(4+(L903^2-4)*(R903/J903)^2))</f>
        <v/>
      </c>
      <c r="U903" s="7" t="n"/>
      <c r="V903" s="7" t="n"/>
    </row>
    <row r="904">
      <c r="A904" s="7" t="inlineStr">
        <is>
          <t>X-11/2-10-i3</t>
        </is>
      </c>
      <c r="B904" s="7" t="inlineStr">
        <is>
          <t>1 1/2</t>
        </is>
      </c>
      <c r="C904" s="7" t="inlineStr">
        <is>
          <t>X</t>
        </is>
      </c>
      <c r="D904" s="7" t="inlineStr">
        <is>
          <t>PEX-A</t>
        </is>
      </c>
      <c r="E904" s="7" t="n">
        <v>10</v>
      </c>
      <c r="F904" s="7" t="n">
        <v>3</v>
      </c>
      <c r="G904" s="8" t="n"/>
      <c r="H904" s="27" t="n"/>
      <c r="I904" s="27" t="n"/>
      <c r="J904" s="8" t="n"/>
      <c r="K904" s="8" t="n"/>
      <c r="L904" s="10" t="n"/>
      <c r="M904" s="8" t="n"/>
      <c r="N904" s="11">
        <f>IF(OR(J904="",H904="",I904=""),"",J904/((I904-H904)*1440))</f>
        <v/>
      </c>
      <c r="O904" s="7" t="n"/>
      <c r="P904" s="7" t="n"/>
      <c r="Q904" s="7" t="n"/>
      <c r="R904" s="12" t="n"/>
      <c r="S904" s="13">
        <f>IF(OR(R904="",J904=""),"",R904/J904-1)</f>
        <v/>
      </c>
      <c r="T904" s="14">
        <f>IF(OR(L904="",R904="",J904=""),"",SQRT(4+(L904^2-4)*(R904/J904)^2))</f>
        <v/>
      </c>
      <c r="U904" s="7" t="n"/>
      <c r="V904" s="7" t="n"/>
    </row>
    <row r="905">
      <c r="A905" s="7" t="inlineStr">
        <is>
          <t>p-11/2-0.5-i1</t>
        </is>
      </c>
      <c r="B905" s="7" t="inlineStr">
        <is>
          <t>1 1/2</t>
        </is>
      </c>
      <c r="C905" s="7" t="inlineStr">
        <is>
          <t>p</t>
        </is>
      </c>
      <c r="D905" s="7" t="inlineStr">
        <is>
          <t>PVC-80</t>
        </is>
      </c>
      <c r="E905" s="7" t="n">
        <v>0.5</v>
      </c>
      <c r="F905" s="7" t="n">
        <v>1</v>
      </c>
      <c r="G905" s="8" t="n"/>
      <c r="H905" s="27" t="n"/>
      <c r="I905" s="27" t="n"/>
      <c r="J905" s="8" t="n"/>
      <c r="K905" s="8" t="n"/>
      <c r="L905" s="10" t="n"/>
      <c r="M905" s="8" t="n"/>
      <c r="N905" s="11">
        <f>IF(OR(J905="",H905="",I905=""),"",J905/((I905-H905)*1440))</f>
        <v/>
      </c>
      <c r="O905" s="7" t="n"/>
      <c r="P905" s="7" t="n"/>
      <c r="Q905" s="7" t="n"/>
      <c r="R905" s="12" t="n"/>
      <c r="S905" s="13">
        <f>IF(OR(R905="",J905=""),"",R905/J905-1)</f>
        <v/>
      </c>
      <c r="T905" s="14">
        <f>IF(OR(L905="",R905="",J905=""),"",SQRT(4+(L905^2-4)*(R905/J905)^2))</f>
        <v/>
      </c>
      <c r="U905" s="7" t="n"/>
      <c r="V905" s="7" t="n"/>
    </row>
    <row r="906">
      <c r="A906" s="7" t="inlineStr">
        <is>
          <t>p-11/2-0.5-i2</t>
        </is>
      </c>
      <c r="B906" s="7" t="inlineStr">
        <is>
          <t>1 1/2</t>
        </is>
      </c>
      <c r="C906" s="7" t="inlineStr">
        <is>
          <t>p</t>
        </is>
      </c>
      <c r="D906" s="7" t="inlineStr">
        <is>
          <t>PVC-80</t>
        </is>
      </c>
      <c r="E906" s="7" t="n">
        <v>0.5</v>
      </c>
      <c r="F906" s="7" t="n">
        <v>2</v>
      </c>
      <c r="G906" s="8" t="n"/>
      <c r="H906" s="27" t="n"/>
      <c r="I906" s="27" t="n"/>
      <c r="J906" s="8" t="n"/>
      <c r="K906" s="8" t="n"/>
      <c r="L906" s="10" t="n"/>
      <c r="M906" s="8" t="n"/>
      <c r="N906" s="11">
        <f>IF(OR(J906="",H906="",I906=""),"",J906/((I906-H906)*1440))</f>
        <v/>
      </c>
      <c r="O906" s="7" t="n"/>
      <c r="P906" s="7" t="n"/>
      <c r="Q906" s="7" t="n"/>
      <c r="R906" s="12" t="n"/>
      <c r="S906" s="13">
        <f>IF(OR(R906="",J906=""),"",R906/J906-1)</f>
        <v/>
      </c>
      <c r="T906" s="14">
        <f>IF(OR(L906="",R906="",J906=""),"",SQRT(4+(L906^2-4)*(R906/J906)^2))</f>
        <v/>
      </c>
      <c r="U906" s="7" t="n"/>
      <c r="V906" s="7" t="n"/>
    </row>
    <row r="907">
      <c r="A907" s="7" t="inlineStr">
        <is>
          <t>p-11/2-0.5-i3</t>
        </is>
      </c>
      <c r="B907" s="7" t="inlineStr">
        <is>
          <t>1 1/2</t>
        </is>
      </c>
      <c r="C907" s="7" t="inlineStr">
        <is>
          <t>p</t>
        </is>
      </c>
      <c r="D907" s="7" t="inlineStr">
        <is>
          <t>PVC-80</t>
        </is>
      </c>
      <c r="E907" s="7" t="n">
        <v>0.5</v>
      </c>
      <c r="F907" s="7" t="n">
        <v>3</v>
      </c>
      <c r="G907" s="8" t="n"/>
      <c r="H907" s="27" t="n"/>
      <c r="I907" s="27" t="n"/>
      <c r="J907" s="8" t="n"/>
      <c r="K907" s="8" t="n"/>
      <c r="L907" s="10" t="n"/>
      <c r="M907" s="8" t="n"/>
      <c r="N907" s="11">
        <f>IF(OR(J907="",H907="",I907=""),"",J907/((I907-H907)*1440))</f>
        <v/>
      </c>
      <c r="O907" s="7" t="n"/>
      <c r="P907" s="7" t="n"/>
      <c r="Q907" s="7" t="n"/>
      <c r="R907" s="12" t="n"/>
      <c r="S907" s="13">
        <f>IF(OR(R907="",J907=""),"",R907/J907-1)</f>
        <v/>
      </c>
      <c r="T907" s="14">
        <f>IF(OR(L907="",R907="",J907=""),"",SQRT(4+(L907^2-4)*(R907/J907)^2))</f>
        <v/>
      </c>
      <c r="U907" s="7" t="n"/>
      <c r="V907" s="7" t="n"/>
    </row>
    <row r="908">
      <c r="A908" s="7" t="inlineStr">
        <is>
          <t>p-11/2-1-i1</t>
        </is>
      </c>
      <c r="B908" s="7" t="inlineStr">
        <is>
          <t>1 1/2</t>
        </is>
      </c>
      <c r="C908" s="7" t="inlineStr">
        <is>
          <t>p</t>
        </is>
      </c>
      <c r="D908" s="7" t="inlineStr">
        <is>
          <t>PVC-80</t>
        </is>
      </c>
      <c r="E908" s="7" t="n">
        <v>1</v>
      </c>
      <c r="F908" s="7" t="n">
        <v>1</v>
      </c>
      <c r="G908" s="8" t="n"/>
      <c r="H908" s="27" t="n"/>
      <c r="I908" s="27" t="n"/>
      <c r="J908" s="8" t="n"/>
      <c r="K908" s="8" t="n"/>
      <c r="L908" s="10" t="n"/>
      <c r="M908" s="8" t="n"/>
      <c r="N908" s="11">
        <f>IF(OR(J908="",H908="",I908=""),"",J908/((I908-H908)*1440))</f>
        <v/>
      </c>
      <c r="O908" s="7" t="n"/>
      <c r="P908" s="7" t="n"/>
      <c r="Q908" s="7" t="n"/>
      <c r="R908" s="12" t="n"/>
      <c r="S908" s="13">
        <f>IF(OR(R908="",J908=""),"",R908/J908-1)</f>
        <v/>
      </c>
      <c r="T908" s="14">
        <f>IF(OR(L908="",R908="",J908=""),"",SQRT(4+(L908^2-4)*(R908/J908)^2))</f>
        <v/>
      </c>
      <c r="U908" s="7" t="n"/>
      <c r="V908" s="7" t="n"/>
    </row>
    <row r="909">
      <c r="A909" s="7" t="inlineStr">
        <is>
          <t>p-11/2-1-i2</t>
        </is>
      </c>
      <c r="B909" s="7" t="inlineStr">
        <is>
          <t>1 1/2</t>
        </is>
      </c>
      <c r="C909" s="7" t="inlineStr">
        <is>
          <t>p</t>
        </is>
      </c>
      <c r="D909" s="7" t="inlineStr">
        <is>
          <t>PVC-80</t>
        </is>
      </c>
      <c r="E909" s="7" t="n">
        <v>1</v>
      </c>
      <c r="F909" s="7" t="n">
        <v>2</v>
      </c>
      <c r="G909" s="8" t="n"/>
      <c r="H909" s="27" t="n"/>
      <c r="I909" s="27" t="n"/>
      <c r="J909" s="8" t="n"/>
      <c r="K909" s="8" t="n"/>
      <c r="L909" s="10" t="n"/>
      <c r="M909" s="8" t="n"/>
      <c r="N909" s="11">
        <f>IF(OR(J909="",H909="",I909=""),"",J909/((I909-H909)*1440))</f>
        <v/>
      </c>
      <c r="O909" s="7" t="n"/>
      <c r="P909" s="7" t="n"/>
      <c r="Q909" s="7" t="n"/>
      <c r="R909" s="12" t="n"/>
      <c r="S909" s="13">
        <f>IF(OR(R909="",J909=""),"",R909/J909-1)</f>
        <v/>
      </c>
      <c r="T909" s="14">
        <f>IF(OR(L909="",R909="",J909=""),"",SQRT(4+(L909^2-4)*(R909/J909)^2))</f>
        <v/>
      </c>
      <c r="U909" s="7" t="n"/>
      <c r="V909" s="7" t="n"/>
    </row>
    <row r="910">
      <c r="A910" s="7" t="inlineStr">
        <is>
          <t>p-11/2-1-i3</t>
        </is>
      </c>
      <c r="B910" s="7" t="inlineStr">
        <is>
          <t>1 1/2</t>
        </is>
      </c>
      <c r="C910" s="7" t="inlineStr">
        <is>
          <t>p</t>
        </is>
      </c>
      <c r="D910" s="7" t="inlineStr">
        <is>
          <t>PVC-80</t>
        </is>
      </c>
      <c r="E910" s="7" t="n">
        <v>1</v>
      </c>
      <c r="F910" s="7" t="n">
        <v>3</v>
      </c>
      <c r="G910" s="8" t="n"/>
      <c r="H910" s="27" t="n"/>
      <c r="I910" s="27" t="n"/>
      <c r="J910" s="8" t="n"/>
      <c r="K910" s="8" t="n"/>
      <c r="L910" s="10" t="n"/>
      <c r="M910" s="8" t="n"/>
      <c r="N910" s="11">
        <f>IF(OR(J910="",H910="",I910=""),"",J910/((I910-H910)*1440))</f>
        <v/>
      </c>
      <c r="O910" s="7" t="n"/>
      <c r="P910" s="7" t="n"/>
      <c r="Q910" s="7" t="n"/>
      <c r="R910" s="12" t="n"/>
      <c r="S910" s="13">
        <f>IF(OR(R910="",J910=""),"",R910/J910-1)</f>
        <v/>
      </c>
      <c r="T910" s="14">
        <f>IF(OR(L910="",R910="",J910=""),"",SQRT(4+(L910^2-4)*(R910/J910)^2))</f>
        <v/>
      </c>
      <c r="U910" s="7" t="n"/>
      <c r="V910" s="7" t="n"/>
    </row>
    <row r="911">
      <c r="A911" s="7" t="inlineStr">
        <is>
          <t>p-11/2-3-i1</t>
        </is>
      </c>
      <c r="B911" s="7" t="inlineStr">
        <is>
          <t>1 1/2</t>
        </is>
      </c>
      <c r="C911" s="7" t="inlineStr">
        <is>
          <t>p</t>
        </is>
      </c>
      <c r="D911" s="7" t="inlineStr">
        <is>
          <t>PVC-80</t>
        </is>
      </c>
      <c r="E911" s="7" t="n">
        <v>3</v>
      </c>
      <c r="F911" s="7" t="n">
        <v>1</v>
      </c>
      <c r="G911" s="8" t="n"/>
      <c r="H911" s="27" t="n"/>
      <c r="I911" s="27" t="n"/>
      <c r="J911" s="8" t="n"/>
      <c r="K911" s="8" t="n"/>
      <c r="L911" s="10" t="n"/>
      <c r="M911" s="8" t="n"/>
      <c r="N911" s="11">
        <f>IF(OR(J911="",H911="",I911=""),"",J911/((I911-H911)*1440))</f>
        <v/>
      </c>
      <c r="O911" s="7" t="n"/>
      <c r="P911" s="7" t="n"/>
      <c r="Q911" s="7" t="n"/>
      <c r="R911" s="12" t="n"/>
      <c r="S911" s="13">
        <f>IF(OR(R911="",J911=""),"",R911/J911-1)</f>
        <v/>
      </c>
      <c r="T911" s="14">
        <f>IF(OR(L911="",R911="",J911=""),"",SQRT(4+(L911^2-4)*(R911/J911)^2))</f>
        <v/>
      </c>
      <c r="U911" s="7" t="n"/>
      <c r="V911" s="7" t="n"/>
    </row>
    <row r="912">
      <c r="A912" s="7" t="inlineStr">
        <is>
          <t>p-11/2-3-i2</t>
        </is>
      </c>
      <c r="B912" s="7" t="inlineStr">
        <is>
          <t>1 1/2</t>
        </is>
      </c>
      <c r="C912" s="7" t="inlineStr">
        <is>
          <t>p</t>
        </is>
      </c>
      <c r="D912" s="7" t="inlineStr">
        <is>
          <t>PVC-80</t>
        </is>
      </c>
      <c r="E912" s="7" t="n">
        <v>3</v>
      </c>
      <c r="F912" s="7" t="n">
        <v>2</v>
      </c>
      <c r="G912" s="8" t="n"/>
      <c r="H912" s="27" t="n"/>
      <c r="I912" s="27" t="n"/>
      <c r="J912" s="8" t="n"/>
      <c r="K912" s="8" t="n"/>
      <c r="L912" s="10" t="n"/>
      <c r="M912" s="8" t="n"/>
      <c r="N912" s="11">
        <f>IF(OR(J912="",H912="",I912=""),"",J912/((I912-H912)*1440))</f>
        <v/>
      </c>
      <c r="O912" s="7" t="n"/>
      <c r="P912" s="7" t="n"/>
      <c r="Q912" s="7" t="n"/>
      <c r="R912" s="12" t="n"/>
      <c r="S912" s="13">
        <f>IF(OR(R912="",J912=""),"",R912/J912-1)</f>
        <v/>
      </c>
      <c r="T912" s="14">
        <f>IF(OR(L912="",R912="",J912=""),"",SQRT(4+(L912^2-4)*(R912/J912)^2))</f>
        <v/>
      </c>
      <c r="U912" s="7" t="n"/>
      <c r="V912" s="7" t="n"/>
    </row>
    <row r="913">
      <c r="A913" s="7" t="inlineStr">
        <is>
          <t>p-11/2-3-i3</t>
        </is>
      </c>
      <c r="B913" s="7" t="inlineStr">
        <is>
          <t>1 1/2</t>
        </is>
      </c>
      <c r="C913" s="7" t="inlineStr">
        <is>
          <t>p</t>
        </is>
      </c>
      <c r="D913" s="7" t="inlineStr">
        <is>
          <t>PVC-80</t>
        </is>
      </c>
      <c r="E913" s="7" t="n">
        <v>3</v>
      </c>
      <c r="F913" s="7" t="n">
        <v>3</v>
      </c>
      <c r="G913" s="8" t="n"/>
      <c r="H913" s="27" t="n"/>
      <c r="I913" s="27" t="n"/>
      <c r="J913" s="8" t="n"/>
      <c r="K913" s="8" t="n"/>
      <c r="L913" s="10" t="n"/>
      <c r="M913" s="8" t="n"/>
      <c r="N913" s="11">
        <f>IF(OR(J913="",H913="",I913=""),"",J913/((I913-H913)*1440))</f>
        <v/>
      </c>
      <c r="O913" s="7" t="n"/>
      <c r="P913" s="7" t="n"/>
      <c r="Q913" s="7" t="n"/>
      <c r="R913" s="12" t="n"/>
      <c r="S913" s="13">
        <f>IF(OR(R913="",J913=""),"",R913/J913-1)</f>
        <v/>
      </c>
      <c r="T913" s="14">
        <f>IF(OR(L913="",R913="",J913=""),"",SQRT(4+(L913^2-4)*(R913/J913)^2))</f>
        <v/>
      </c>
      <c r="U913" s="7" t="n"/>
      <c r="V913" s="7" t="n"/>
    </row>
    <row r="914">
      <c r="A914" s="7" t="inlineStr">
        <is>
          <t>p-11/2-5-i1</t>
        </is>
      </c>
      <c r="B914" s="7" t="inlineStr">
        <is>
          <t>1 1/2</t>
        </is>
      </c>
      <c r="C914" s="7" t="inlineStr">
        <is>
          <t>p</t>
        </is>
      </c>
      <c r="D914" s="7" t="inlineStr">
        <is>
          <t>PVC-80</t>
        </is>
      </c>
      <c r="E914" s="7" t="n">
        <v>5</v>
      </c>
      <c r="F914" s="7" t="n">
        <v>1</v>
      </c>
      <c r="G914" s="8" t="n"/>
      <c r="H914" s="27" t="n"/>
      <c r="I914" s="27" t="n"/>
      <c r="J914" s="8" t="n"/>
      <c r="K914" s="8" t="n"/>
      <c r="L914" s="10" t="n"/>
      <c r="M914" s="8" t="n"/>
      <c r="N914" s="11">
        <f>IF(OR(J914="",H914="",I914=""),"",J914/((I914-H914)*1440))</f>
        <v/>
      </c>
      <c r="O914" s="7" t="n"/>
      <c r="P914" s="7" t="n"/>
      <c r="Q914" s="7" t="n"/>
      <c r="R914" s="12" t="n"/>
      <c r="S914" s="13">
        <f>IF(OR(R914="",J914=""),"",R914/J914-1)</f>
        <v/>
      </c>
      <c r="T914" s="14">
        <f>IF(OR(L914="",R914="",J914=""),"",SQRT(4+(L914^2-4)*(R914/J914)^2))</f>
        <v/>
      </c>
      <c r="U914" s="7" t="n"/>
      <c r="V914" s="7" t="n"/>
    </row>
    <row r="915">
      <c r="A915" s="7" t="inlineStr">
        <is>
          <t>p-11/2-5-i2</t>
        </is>
      </c>
      <c r="B915" s="7" t="inlineStr">
        <is>
          <t>1 1/2</t>
        </is>
      </c>
      <c r="C915" s="7" t="inlineStr">
        <is>
          <t>p</t>
        </is>
      </c>
      <c r="D915" s="7" t="inlineStr">
        <is>
          <t>PVC-80</t>
        </is>
      </c>
      <c r="E915" s="7" t="n">
        <v>5</v>
      </c>
      <c r="F915" s="7" t="n">
        <v>2</v>
      </c>
      <c r="G915" s="8" t="n"/>
      <c r="H915" s="27" t="n"/>
      <c r="I915" s="27" t="n"/>
      <c r="J915" s="8" t="n"/>
      <c r="K915" s="8" t="n"/>
      <c r="L915" s="10" t="n"/>
      <c r="M915" s="8" t="n"/>
      <c r="N915" s="11">
        <f>IF(OR(J915="",H915="",I915=""),"",J915/((I915-H915)*1440))</f>
        <v/>
      </c>
      <c r="O915" s="7" t="n"/>
      <c r="P915" s="7" t="n"/>
      <c r="Q915" s="7" t="n"/>
      <c r="R915" s="12" t="n"/>
      <c r="S915" s="13">
        <f>IF(OR(R915="",J915=""),"",R915/J915-1)</f>
        <v/>
      </c>
      <c r="T915" s="14">
        <f>IF(OR(L915="",R915="",J915=""),"",SQRT(4+(L915^2-4)*(R915/J915)^2))</f>
        <v/>
      </c>
      <c r="U915" s="7" t="n"/>
      <c r="V915" s="7" t="n"/>
    </row>
    <row r="916">
      <c r="A916" s="7" t="inlineStr">
        <is>
          <t>p-11/2-5-i3</t>
        </is>
      </c>
      <c r="B916" s="7" t="inlineStr">
        <is>
          <t>1 1/2</t>
        </is>
      </c>
      <c r="C916" s="7" t="inlineStr">
        <is>
          <t>p</t>
        </is>
      </c>
      <c r="D916" s="7" t="inlineStr">
        <is>
          <t>PVC-80</t>
        </is>
      </c>
      <c r="E916" s="7" t="n">
        <v>5</v>
      </c>
      <c r="F916" s="7" t="n">
        <v>3</v>
      </c>
      <c r="G916" s="8" t="n"/>
      <c r="H916" s="27" t="n"/>
      <c r="I916" s="27" t="n"/>
      <c r="J916" s="8" t="n"/>
      <c r="K916" s="8" t="n"/>
      <c r="L916" s="10" t="n"/>
      <c r="M916" s="8" t="n"/>
      <c r="N916" s="11">
        <f>IF(OR(J916="",H916="",I916=""),"",J916/((I916-H916)*1440))</f>
        <v/>
      </c>
      <c r="O916" s="7" t="n"/>
      <c r="P916" s="7" t="n"/>
      <c r="Q916" s="7" t="n"/>
      <c r="R916" s="12" t="n"/>
      <c r="S916" s="13">
        <f>IF(OR(R916="",J916=""),"",R916/J916-1)</f>
        <v/>
      </c>
      <c r="T916" s="14">
        <f>IF(OR(L916="",R916="",J916=""),"",SQRT(4+(L916^2-4)*(R916/J916)^2))</f>
        <v/>
      </c>
      <c r="U916" s="7" t="n"/>
      <c r="V916" s="7" t="n"/>
    </row>
    <row r="917">
      <c r="A917" s="7" t="inlineStr">
        <is>
          <t>p-11/2-10-i1</t>
        </is>
      </c>
      <c r="B917" s="7" t="inlineStr">
        <is>
          <t>1 1/2</t>
        </is>
      </c>
      <c r="C917" s="7" t="inlineStr">
        <is>
          <t>p</t>
        </is>
      </c>
      <c r="D917" s="7" t="inlineStr">
        <is>
          <t>PVC-80</t>
        </is>
      </c>
      <c r="E917" s="7" t="n">
        <v>10</v>
      </c>
      <c r="F917" s="7" t="n">
        <v>1</v>
      </c>
      <c r="G917" s="8" t="n"/>
      <c r="H917" s="27" t="n"/>
      <c r="I917" s="27" t="n"/>
      <c r="J917" s="8" t="n"/>
      <c r="K917" s="8" t="n"/>
      <c r="L917" s="10" t="n"/>
      <c r="M917" s="8" t="n"/>
      <c r="N917" s="11">
        <f>IF(OR(J917="",H917="",I917=""),"",J917/((I917-H917)*1440))</f>
        <v/>
      </c>
      <c r="O917" s="7" t="n"/>
      <c r="P917" s="7" t="n"/>
      <c r="Q917" s="7" t="n"/>
      <c r="R917" s="12" t="n"/>
      <c r="S917" s="13">
        <f>IF(OR(R917="",J917=""),"",R917/J917-1)</f>
        <v/>
      </c>
      <c r="T917" s="14">
        <f>IF(OR(L917="",R917="",J917=""),"",SQRT(4+(L917^2-4)*(R917/J917)^2))</f>
        <v/>
      </c>
      <c r="U917" s="7" t="n"/>
      <c r="V917" s="7" t="n"/>
    </row>
    <row r="918">
      <c r="A918" s="7" t="inlineStr">
        <is>
          <t>p-11/2-10-i2</t>
        </is>
      </c>
      <c r="B918" s="7" t="inlineStr">
        <is>
          <t>1 1/2</t>
        </is>
      </c>
      <c r="C918" s="7" t="inlineStr">
        <is>
          <t>p</t>
        </is>
      </c>
      <c r="D918" s="7" t="inlineStr">
        <is>
          <t>PVC-80</t>
        </is>
      </c>
      <c r="E918" s="7" t="n">
        <v>10</v>
      </c>
      <c r="F918" s="7" t="n">
        <v>2</v>
      </c>
      <c r="G918" s="8" t="n"/>
      <c r="H918" s="27" t="n"/>
      <c r="I918" s="27" t="n"/>
      <c r="J918" s="8" t="n"/>
      <c r="K918" s="8" t="n"/>
      <c r="L918" s="10" t="n"/>
      <c r="M918" s="8" t="n"/>
      <c r="N918" s="11">
        <f>IF(OR(J918="",H918="",I918=""),"",J918/((I918-H918)*1440))</f>
        <v/>
      </c>
      <c r="O918" s="7" t="n"/>
      <c r="P918" s="7" t="n"/>
      <c r="Q918" s="7" t="n"/>
      <c r="R918" s="12" t="n"/>
      <c r="S918" s="13">
        <f>IF(OR(R918="",J918=""),"",R918/J918-1)</f>
        <v/>
      </c>
      <c r="T918" s="14">
        <f>IF(OR(L918="",R918="",J918=""),"",SQRT(4+(L918^2-4)*(R918/J918)^2))</f>
        <v/>
      </c>
      <c r="U918" s="7" t="n"/>
      <c r="V918" s="7" t="n"/>
    </row>
    <row r="919">
      <c r="A919" s="7" t="inlineStr">
        <is>
          <t>p-11/2-10-i3</t>
        </is>
      </c>
      <c r="B919" s="7" t="inlineStr">
        <is>
          <t>1 1/2</t>
        </is>
      </c>
      <c r="C919" s="7" t="inlineStr">
        <is>
          <t>p</t>
        </is>
      </c>
      <c r="D919" s="7" t="inlineStr">
        <is>
          <t>PVC-80</t>
        </is>
      </c>
      <c r="E919" s="7" t="n">
        <v>10</v>
      </c>
      <c r="F919" s="7" t="n">
        <v>3</v>
      </c>
      <c r="G919" s="8" t="n"/>
      <c r="H919" s="27" t="n"/>
      <c r="I919" s="27" t="n"/>
      <c r="J919" s="8" t="n"/>
      <c r="K919" s="8" t="n"/>
      <c r="L919" s="10" t="n"/>
      <c r="M919" s="8" t="n"/>
      <c r="N919" s="11">
        <f>IF(OR(J919="",H919="",I919=""),"",J919/((I919-H919)*1440))</f>
        <v/>
      </c>
      <c r="O919" s="7" t="n"/>
      <c r="P919" s="7" t="n"/>
      <c r="Q919" s="7" t="n"/>
      <c r="R919" s="12" t="n"/>
      <c r="S919" s="13">
        <f>IF(OR(R919="",J919=""),"",R919/J919-1)</f>
        <v/>
      </c>
      <c r="T919" s="14">
        <f>IF(OR(L919="",R919="",J919=""),"",SQRT(4+(L919^2-4)*(R919/J919)^2))</f>
        <v/>
      </c>
      <c r="U919" s="7" t="n"/>
      <c r="V919" s="7" t="n"/>
    </row>
    <row r="920">
      <c r="A920" s="7" t="inlineStr">
        <is>
          <t>x-11/2-0.5-i1</t>
        </is>
      </c>
      <c r="B920" s="7" t="inlineStr">
        <is>
          <t>1 1/2</t>
        </is>
      </c>
      <c r="C920" s="7" t="inlineStr">
        <is>
          <t>x</t>
        </is>
      </c>
      <c r="D920" s="7" t="inlineStr">
        <is>
          <t>PEX-B</t>
        </is>
      </c>
      <c r="E920" s="7" t="n">
        <v>0.5</v>
      </c>
      <c r="F920" s="7" t="n">
        <v>1</v>
      </c>
      <c r="G920" s="8" t="n"/>
      <c r="H920" s="27" t="n"/>
      <c r="I920" s="27" t="n"/>
      <c r="J920" s="8" t="n"/>
      <c r="K920" s="8" t="n"/>
      <c r="L920" s="10" t="n"/>
      <c r="M920" s="8" t="n"/>
      <c r="N920" s="11">
        <f>IF(OR(J920="",H920="",I920=""),"",J920/((I920-H920)*1440))</f>
        <v/>
      </c>
      <c r="O920" s="7" t="n"/>
      <c r="P920" s="7" t="n"/>
      <c r="Q920" s="7" t="n"/>
      <c r="R920" s="12" t="n"/>
      <c r="S920" s="13">
        <f>IF(OR(R920="",J920=""),"",R920/J920-1)</f>
        <v/>
      </c>
      <c r="T920" s="14">
        <f>IF(OR(L920="",R920="",J920=""),"",SQRT(4+(L920^2-4)*(R920/J920)^2))</f>
        <v/>
      </c>
      <c r="U920" s="7" t="n"/>
      <c r="V920" s="7" t="n"/>
    </row>
    <row r="921">
      <c r="A921" s="7" t="inlineStr">
        <is>
          <t>x-11/2-0.5-i2</t>
        </is>
      </c>
      <c r="B921" s="7" t="inlineStr">
        <is>
          <t>1 1/2</t>
        </is>
      </c>
      <c r="C921" s="7" t="inlineStr">
        <is>
          <t>x</t>
        </is>
      </c>
      <c r="D921" s="7" t="inlineStr">
        <is>
          <t>PEX-B</t>
        </is>
      </c>
      <c r="E921" s="7" t="n">
        <v>0.5</v>
      </c>
      <c r="F921" s="7" t="n">
        <v>2</v>
      </c>
      <c r="G921" s="8" t="n"/>
      <c r="H921" s="27" t="n"/>
      <c r="I921" s="27" t="n"/>
      <c r="J921" s="8" t="n"/>
      <c r="K921" s="8" t="n"/>
      <c r="L921" s="10" t="n"/>
      <c r="M921" s="8" t="n"/>
      <c r="N921" s="11">
        <f>IF(OR(J921="",H921="",I921=""),"",J921/((I921-H921)*1440))</f>
        <v/>
      </c>
      <c r="O921" s="7" t="n"/>
      <c r="P921" s="7" t="n"/>
      <c r="Q921" s="7" t="n"/>
      <c r="R921" s="12" t="n"/>
      <c r="S921" s="13">
        <f>IF(OR(R921="",J921=""),"",R921/J921-1)</f>
        <v/>
      </c>
      <c r="T921" s="14">
        <f>IF(OR(L921="",R921="",J921=""),"",SQRT(4+(L921^2-4)*(R921/J921)^2))</f>
        <v/>
      </c>
      <c r="U921" s="7" t="n"/>
      <c r="V921" s="7" t="n"/>
    </row>
    <row r="922">
      <c r="A922" s="7" t="inlineStr">
        <is>
          <t>x-11/2-0.5-i3</t>
        </is>
      </c>
      <c r="B922" s="7" t="inlineStr">
        <is>
          <t>1 1/2</t>
        </is>
      </c>
      <c r="C922" s="7" t="inlineStr">
        <is>
          <t>x</t>
        </is>
      </c>
      <c r="D922" s="7" t="inlineStr">
        <is>
          <t>PEX-B</t>
        </is>
      </c>
      <c r="E922" s="7" t="n">
        <v>0.5</v>
      </c>
      <c r="F922" s="7" t="n">
        <v>3</v>
      </c>
      <c r="G922" s="8" t="n"/>
      <c r="H922" s="27" t="n"/>
      <c r="I922" s="27" t="n"/>
      <c r="J922" s="8" t="n"/>
      <c r="K922" s="8" t="n"/>
      <c r="L922" s="10" t="n"/>
      <c r="M922" s="8" t="n"/>
      <c r="N922" s="11">
        <f>IF(OR(J922="",H922="",I922=""),"",J922/((I922-H922)*1440))</f>
        <v/>
      </c>
      <c r="O922" s="7" t="n"/>
      <c r="P922" s="7" t="n"/>
      <c r="Q922" s="7" t="n"/>
      <c r="R922" s="12" t="n"/>
      <c r="S922" s="13">
        <f>IF(OR(R922="",J922=""),"",R922/J922-1)</f>
        <v/>
      </c>
      <c r="T922" s="14">
        <f>IF(OR(L922="",R922="",J922=""),"",SQRT(4+(L922^2-4)*(R922/J922)^2))</f>
        <v/>
      </c>
      <c r="U922" s="7" t="n"/>
      <c r="V922" s="7" t="n"/>
    </row>
    <row r="923">
      <c r="A923" s="7" t="inlineStr">
        <is>
          <t>x-11/2-1-i1</t>
        </is>
      </c>
      <c r="B923" s="7" t="inlineStr">
        <is>
          <t>1 1/2</t>
        </is>
      </c>
      <c r="C923" s="7" t="inlineStr">
        <is>
          <t>x</t>
        </is>
      </c>
      <c r="D923" s="7" t="inlineStr">
        <is>
          <t>PEX-B</t>
        </is>
      </c>
      <c r="E923" s="7" t="n">
        <v>1</v>
      </c>
      <c r="F923" s="7" t="n">
        <v>1</v>
      </c>
      <c r="G923" s="8" t="n"/>
      <c r="H923" s="27" t="n"/>
      <c r="I923" s="27" t="n"/>
      <c r="J923" s="8" t="n"/>
      <c r="K923" s="8" t="n"/>
      <c r="L923" s="10" t="n"/>
      <c r="M923" s="8" t="n"/>
      <c r="N923" s="11">
        <f>IF(OR(J923="",H923="",I923=""),"",J923/((I923-H923)*1440))</f>
        <v/>
      </c>
      <c r="O923" s="7" t="n"/>
      <c r="P923" s="7" t="n"/>
      <c r="Q923" s="7" t="n"/>
      <c r="R923" s="12" t="n"/>
      <c r="S923" s="13">
        <f>IF(OR(R923="",J923=""),"",R923/J923-1)</f>
        <v/>
      </c>
      <c r="T923" s="14">
        <f>IF(OR(L923="",R923="",J923=""),"",SQRT(4+(L923^2-4)*(R923/J923)^2))</f>
        <v/>
      </c>
      <c r="U923" s="7" t="n"/>
      <c r="V923" s="7" t="n"/>
    </row>
    <row r="924">
      <c r="A924" s="7" t="inlineStr">
        <is>
          <t>x-11/2-1-i2</t>
        </is>
      </c>
      <c r="B924" s="7" t="inlineStr">
        <is>
          <t>1 1/2</t>
        </is>
      </c>
      <c r="C924" s="7" t="inlineStr">
        <is>
          <t>x</t>
        </is>
      </c>
      <c r="D924" s="7" t="inlineStr">
        <is>
          <t>PEX-B</t>
        </is>
      </c>
      <c r="E924" s="7" t="n">
        <v>1</v>
      </c>
      <c r="F924" s="7" t="n">
        <v>2</v>
      </c>
      <c r="G924" s="8" t="n"/>
      <c r="H924" s="27" t="n"/>
      <c r="I924" s="27" t="n"/>
      <c r="J924" s="8" t="n"/>
      <c r="K924" s="8" t="n"/>
      <c r="L924" s="10" t="n"/>
      <c r="M924" s="8" t="n"/>
      <c r="N924" s="11">
        <f>IF(OR(J924="",H924="",I924=""),"",J924/((I924-H924)*1440))</f>
        <v/>
      </c>
      <c r="O924" s="7" t="n"/>
      <c r="P924" s="7" t="n"/>
      <c r="Q924" s="7" t="n"/>
      <c r="R924" s="12" t="n"/>
      <c r="S924" s="13">
        <f>IF(OR(R924="",J924=""),"",R924/J924-1)</f>
        <v/>
      </c>
      <c r="T924" s="14">
        <f>IF(OR(L924="",R924="",J924=""),"",SQRT(4+(L924^2-4)*(R924/J924)^2))</f>
        <v/>
      </c>
      <c r="U924" s="7" t="n"/>
      <c r="V924" s="7" t="n"/>
    </row>
    <row r="925">
      <c r="A925" s="7" t="inlineStr">
        <is>
          <t>x-11/2-1-i3</t>
        </is>
      </c>
      <c r="B925" s="7" t="inlineStr">
        <is>
          <t>1 1/2</t>
        </is>
      </c>
      <c r="C925" s="7" t="inlineStr">
        <is>
          <t>x</t>
        </is>
      </c>
      <c r="D925" s="7" t="inlineStr">
        <is>
          <t>PEX-B</t>
        </is>
      </c>
      <c r="E925" s="7" t="n">
        <v>1</v>
      </c>
      <c r="F925" s="7" t="n">
        <v>3</v>
      </c>
      <c r="G925" s="8" t="n"/>
      <c r="H925" s="27" t="n"/>
      <c r="I925" s="27" t="n"/>
      <c r="J925" s="8" t="n"/>
      <c r="K925" s="8" t="n"/>
      <c r="L925" s="10" t="n"/>
      <c r="M925" s="8" t="n"/>
      <c r="N925" s="11">
        <f>IF(OR(J925="",H925="",I925=""),"",J925/((I925-H925)*1440))</f>
        <v/>
      </c>
      <c r="O925" s="7" t="n"/>
      <c r="P925" s="7" t="n"/>
      <c r="Q925" s="7" t="n"/>
      <c r="R925" s="12" t="n"/>
      <c r="S925" s="13">
        <f>IF(OR(R925="",J925=""),"",R925/J925-1)</f>
        <v/>
      </c>
      <c r="T925" s="14">
        <f>IF(OR(L925="",R925="",J925=""),"",SQRT(4+(L925^2-4)*(R925/J925)^2))</f>
        <v/>
      </c>
      <c r="U925" s="7" t="n"/>
      <c r="V925" s="7" t="n"/>
    </row>
    <row r="926">
      <c r="A926" s="7" t="inlineStr">
        <is>
          <t>x-11/2-3-i1</t>
        </is>
      </c>
      <c r="B926" s="7" t="inlineStr">
        <is>
          <t>1 1/2</t>
        </is>
      </c>
      <c r="C926" s="7" t="inlineStr">
        <is>
          <t>x</t>
        </is>
      </c>
      <c r="D926" s="7" t="inlineStr">
        <is>
          <t>PEX-B</t>
        </is>
      </c>
      <c r="E926" s="7" t="n">
        <v>3</v>
      </c>
      <c r="F926" s="7" t="n">
        <v>1</v>
      </c>
      <c r="G926" s="8" t="n"/>
      <c r="H926" s="27" t="n"/>
      <c r="I926" s="27" t="n"/>
      <c r="J926" s="8" t="n"/>
      <c r="K926" s="8" t="n"/>
      <c r="L926" s="10" t="n"/>
      <c r="M926" s="8" t="n"/>
      <c r="N926" s="11">
        <f>IF(OR(J926="",H926="",I926=""),"",J926/((I926-H926)*1440))</f>
        <v/>
      </c>
      <c r="O926" s="7" t="n"/>
      <c r="P926" s="7" t="n"/>
      <c r="Q926" s="7" t="n"/>
      <c r="R926" s="12" t="n"/>
      <c r="S926" s="13">
        <f>IF(OR(R926="",J926=""),"",R926/J926-1)</f>
        <v/>
      </c>
      <c r="T926" s="14">
        <f>IF(OR(L926="",R926="",J926=""),"",SQRT(4+(L926^2-4)*(R926/J926)^2))</f>
        <v/>
      </c>
      <c r="U926" s="7" t="n"/>
      <c r="V926" s="7" t="n"/>
    </row>
    <row r="927">
      <c r="A927" s="7" t="inlineStr">
        <is>
          <t>x-11/2-3-i2</t>
        </is>
      </c>
      <c r="B927" s="7" t="inlineStr">
        <is>
          <t>1 1/2</t>
        </is>
      </c>
      <c r="C927" s="7" t="inlineStr">
        <is>
          <t>x</t>
        </is>
      </c>
      <c r="D927" s="7" t="inlineStr">
        <is>
          <t>PEX-B</t>
        </is>
      </c>
      <c r="E927" s="7" t="n">
        <v>3</v>
      </c>
      <c r="F927" s="7" t="n">
        <v>2</v>
      </c>
      <c r="G927" s="8" t="n"/>
      <c r="H927" s="27" t="n"/>
      <c r="I927" s="27" t="n"/>
      <c r="J927" s="8" t="n"/>
      <c r="K927" s="8" t="n"/>
      <c r="L927" s="10" t="n"/>
      <c r="M927" s="8" t="n"/>
      <c r="N927" s="11">
        <f>IF(OR(J927="",H927="",I927=""),"",J927/((I927-H927)*1440))</f>
        <v/>
      </c>
      <c r="O927" s="7" t="n"/>
      <c r="P927" s="7" t="n"/>
      <c r="Q927" s="7" t="n"/>
      <c r="R927" s="12" t="n"/>
      <c r="S927" s="13">
        <f>IF(OR(R927="",J927=""),"",R927/J927-1)</f>
        <v/>
      </c>
      <c r="T927" s="14">
        <f>IF(OR(L927="",R927="",J927=""),"",SQRT(4+(L927^2-4)*(R927/J927)^2))</f>
        <v/>
      </c>
      <c r="U927" s="7" t="n"/>
      <c r="V927" s="7" t="n"/>
    </row>
    <row r="928">
      <c r="A928" s="7" t="inlineStr">
        <is>
          <t>x-11/2-3-i3</t>
        </is>
      </c>
      <c r="B928" s="7" t="inlineStr">
        <is>
          <t>1 1/2</t>
        </is>
      </c>
      <c r="C928" s="7" t="inlineStr">
        <is>
          <t>x</t>
        </is>
      </c>
      <c r="D928" s="7" t="inlineStr">
        <is>
          <t>PEX-B</t>
        </is>
      </c>
      <c r="E928" s="7" t="n">
        <v>3</v>
      </c>
      <c r="F928" s="7" t="n">
        <v>3</v>
      </c>
      <c r="G928" s="8" t="n"/>
      <c r="H928" s="27" t="n"/>
      <c r="I928" s="27" t="n"/>
      <c r="J928" s="8" t="n"/>
      <c r="K928" s="8" t="n"/>
      <c r="L928" s="10" t="n"/>
      <c r="M928" s="8" t="n"/>
      <c r="N928" s="11">
        <f>IF(OR(J928="",H928="",I928=""),"",J928/((I928-H928)*1440))</f>
        <v/>
      </c>
      <c r="O928" s="7" t="n"/>
      <c r="P928" s="7" t="n"/>
      <c r="Q928" s="7" t="n"/>
      <c r="R928" s="12" t="n"/>
      <c r="S928" s="13">
        <f>IF(OR(R928="",J928=""),"",R928/J928-1)</f>
        <v/>
      </c>
      <c r="T928" s="14">
        <f>IF(OR(L928="",R928="",J928=""),"",SQRT(4+(L928^2-4)*(R928/J928)^2))</f>
        <v/>
      </c>
      <c r="U928" s="7" t="n"/>
      <c r="V928" s="7" t="n"/>
    </row>
    <row r="929">
      <c r="A929" s="7" t="inlineStr">
        <is>
          <t>x-11/2-5-i1</t>
        </is>
      </c>
      <c r="B929" s="7" t="inlineStr">
        <is>
          <t>1 1/2</t>
        </is>
      </c>
      <c r="C929" s="7" t="inlineStr">
        <is>
          <t>x</t>
        </is>
      </c>
      <c r="D929" s="7" t="inlineStr">
        <is>
          <t>PEX-B</t>
        </is>
      </c>
      <c r="E929" s="7" t="n">
        <v>5</v>
      </c>
      <c r="F929" s="7" t="n">
        <v>1</v>
      </c>
      <c r="G929" s="8" t="n"/>
      <c r="H929" s="27" t="n"/>
      <c r="I929" s="27" t="n"/>
      <c r="J929" s="8" t="n"/>
      <c r="K929" s="8" t="n"/>
      <c r="L929" s="10" t="n"/>
      <c r="M929" s="8" t="n"/>
      <c r="N929" s="11">
        <f>IF(OR(J929="",H929="",I929=""),"",J929/((I929-H929)*1440))</f>
        <v/>
      </c>
      <c r="O929" s="7" t="n"/>
      <c r="P929" s="7" t="n"/>
      <c r="Q929" s="7" t="n"/>
      <c r="R929" s="12" t="n"/>
      <c r="S929" s="13">
        <f>IF(OR(R929="",J929=""),"",R929/J929-1)</f>
        <v/>
      </c>
      <c r="T929" s="14">
        <f>IF(OR(L929="",R929="",J929=""),"",SQRT(4+(L929^2-4)*(R929/J929)^2))</f>
        <v/>
      </c>
      <c r="U929" s="7" t="n"/>
      <c r="V929" s="7" t="n"/>
    </row>
    <row r="930">
      <c r="A930" s="7" t="inlineStr">
        <is>
          <t>x-11/2-5-i2</t>
        </is>
      </c>
      <c r="B930" s="7" t="inlineStr">
        <is>
          <t>1 1/2</t>
        </is>
      </c>
      <c r="C930" s="7" t="inlineStr">
        <is>
          <t>x</t>
        </is>
      </c>
      <c r="D930" s="7" t="inlineStr">
        <is>
          <t>PEX-B</t>
        </is>
      </c>
      <c r="E930" s="7" t="n">
        <v>5</v>
      </c>
      <c r="F930" s="7" t="n">
        <v>2</v>
      </c>
      <c r="G930" s="8" t="n"/>
      <c r="H930" s="27" t="n"/>
      <c r="I930" s="27" t="n"/>
      <c r="J930" s="8" t="n"/>
      <c r="K930" s="8" t="n"/>
      <c r="L930" s="10" t="n"/>
      <c r="M930" s="8" t="n"/>
      <c r="N930" s="11">
        <f>IF(OR(J930="",H930="",I930=""),"",J930/((I930-H930)*1440))</f>
        <v/>
      </c>
      <c r="O930" s="7" t="n"/>
      <c r="P930" s="7" t="n"/>
      <c r="Q930" s="7" t="n"/>
      <c r="R930" s="12" t="n"/>
      <c r="S930" s="13">
        <f>IF(OR(R930="",J930=""),"",R930/J930-1)</f>
        <v/>
      </c>
      <c r="T930" s="14">
        <f>IF(OR(L930="",R930="",J930=""),"",SQRT(4+(L930^2-4)*(R930/J930)^2))</f>
        <v/>
      </c>
      <c r="U930" s="7" t="n"/>
      <c r="V930" s="7" t="n"/>
    </row>
    <row r="931">
      <c r="A931" s="7" t="inlineStr">
        <is>
          <t>x-11/2-5-i3</t>
        </is>
      </c>
      <c r="B931" s="7" t="inlineStr">
        <is>
          <t>1 1/2</t>
        </is>
      </c>
      <c r="C931" s="7" t="inlineStr">
        <is>
          <t>x</t>
        </is>
      </c>
      <c r="D931" s="7" t="inlineStr">
        <is>
          <t>PEX-B</t>
        </is>
      </c>
      <c r="E931" s="7" t="n">
        <v>5</v>
      </c>
      <c r="F931" s="7" t="n">
        <v>3</v>
      </c>
      <c r="G931" s="8" t="n"/>
      <c r="H931" s="27" t="n"/>
      <c r="I931" s="27" t="n"/>
      <c r="J931" s="8" t="n"/>
      <c r="K931" s="8" t="n"/>
      <c r="L931" s="10" t="n"/>
      <c r="M931" s="8" t="n"/>
      <c r="N931" s="11">
        <f>IF(OR(J931="",H931="",I931=""),"",J931/((I931-H931)*1440))</f>
        <v/>
      </c>
      <c r="O931" s="7" t="n"/>
      <c r="P931" s="7" t="n"/>
      <c r="Q931" s="7" t="n"/>
      <c r="R931" s="12" t="n"/>
      <c r="S931" s="13">
        <f>IF(OR(R931="",J931=""),"",R931/J931-1)</f>
        <v/>
      </c>
      <c r="T931" s="14">
        <f>IF(OR(L931="",R931="",J931=""),"",SQRT(4+(L931^2-4)*(R931/J931)^2))</f>
        <v/>
      </c>
      <c r="U931" s="7" t="n"/>
      <c r="V931" s="7" t="n"/>
    </row>
    <row r="932">
      <c r="A932" s="7" t="inlineStr">
        <is>
          <t>x-11/2-10-i1</t>
        </is>
      </c>
      <c r="B932" s="7" t="inlineStr">
        <is>
          <t>1 1/2</t>
        </is>
      </c>
      <c r="C932" s="7" t="inlineStr">
        <is>
          <t>x</t>
        </is>
      </c>
      <c r="D932" s="7" t="inlineStr">
        <is>
          <t>PEX-B</t>
        </is>
      </c>
      <c r="E932" s="7" t="n">
        <v>10</v>
      </c>
      <c r="F932" s="7" t="n">
        <v>1</v>
      </c>
      <c r="G932" s="8" t="n"/>
      <c r="H932" s="27" t="n"/>
      <c r="I932" s="27" t="n"/>
      <c r="J932" s="8" t="n"/>
      <c r="K932" s="8" t="n"/>
      <c r="L932" s="10" t="n"/>
      <c r="M932" s="8" t="n"/>
      <c r="N932" s="11">
        <f>IF(OR(J932="",H932="",I932=""),"",J932/((I932-H932)*1440))</f>
        <v/>
      </c>
      <c r="O932" s="7" t="n"/>
      <c r="P932" s="7" t="n"/>
      <c r="Q932" s="7" t="n"/>
      <c r="R932" s="12" t="n"/>
      <c r="S932" s="13">
        <f>IF(OR(R932="",J932=""),"",R932/J932-1)</f>
        <v/>
      </c>
      <c r="T932" s="14">
        <f>IF(OR(L932="",R932="",J932=""),"",SQRT(4+(L932^2-4)*(R932/J932)^2))</f>
        <v/>
      </c>
      <c r="U932" s="7" t="n"/>
      <c r="V932" s="7" t="n"/>
    </row>
    <row r="933">
      <c r="A933" s="7" t="inlineStr">
        <is>
          <t>x-11/2-10-i2</t>
        </is>
      </c>
      <c r="B933" s="7" t="inlineStr">
        <is>
          <t>1 1/2</t>
        </is>
      </c>
      <c r="C933" s="7" t="inlineStr">
        <is>
          <t>x</t>
        </is>
      </c>
      <c r="D933" s="7" t="inlineStr">
        <is>
          <t>PEX-B</t>
        </is>
      </c>
      <c r="E933" s="7" t="n">
        <v>10</v>
      </c>
      <c r="F933" s="7" t="n">
        <v>2</v>
      </c>
      <c r="G933" s="8" t="n"/>
      <c r="H933" s="27" t="n"/>
      <c r="I933" s="27" t="n"/>
      <c r="J933" s="8" t="n"/>
      <c r="K933" s="8" t="n"/>
      <c r="L933" s="10" t="n"/>
      <c r="M933" s="8" t="n"/>
      <c r="N933" s="11">
        <f>IF(OR(J933="",H933="",I933=""),"",J933/((I933-H933)*1440))</f>
        <v/>
      </c>
      <c r="O933" s="7" t="n"/>
      <c r="P933" s="7" t="n"/>
      <c r="Q933" s="7" t="n"/>
      <c r="R933" s="12" t="n"/>
      <c r="S933" s="13">
        <f>IF(OR(R933="",J933=""),"",R933/J933-1)</f>
        <v/>
      </c>
      <c r="T933" s="14">
        <f>IF(OR(L933="",R933="",J933=""),"",SQRT(4+(L933^2-4)*(R933/J933)^2))</f>
        <v/>
      </c>
      <c r="U933" s="7" t="n"/>
      <c r="V933" s="7" t="n"/>
    </row>
    <row r="934">
      <c r="A934" s="7" t="inlineStr">
        <is>
          <t>x-11/2-10-i3</t>
        </is>
      </c>
      <c r="B934" s="7" t="inlineStr">
        <is>
          <t>1 1/2</t>
        </is>
      </c>
      <c r="C934" s="7" t="inlineStr">
        <is>
          <t>x</t>
        </is>
      </c>
      <c r="D934" s="7" t="inlineStr">
        <is>
          <t>PEX-B</t>
        </is>
      </c>
      <c r="E934" s="7" t="n">
        <v>10</v>
      </c>
      <c r="F934" s="7" t="n">
        <v>3</v>
      </c>
      <c r="G934" s="8" t="n"/>
      <c r="H934" s="27" t="n"/>
      <c r="I934" s="27" t="n"/>
      <c r="J934" s="8" t="n"/>
      <c r="K934" s="8" t="n"/>
      <c r="L934" s="10" t="n"/>
      <c r="M934" s="8" t="n"/>
      <c r="N934" s="11">
        <f>IF(OR(J934="",H934="",I934=""),"",J934/((I934-H934)*1440))</f>
        <v/>
      </c>
      <c r="O934" s="7" t="n"/>
      <c r="P934" s="7" t="n"/>
      <c r="Q934" s="7" t="n"/>
      <c r="R934" s="12" t="n"/>
      <c r="S934" s="13">
        <f>IF(OR(R934="",J934=""),"",R934/J934-1)</f>
        <v/>
      </c>
      <c r="T934" s="14">
        <f>IF(OR(L934="",R934="",J934=""),"",SQRT(4+(L934^2-4)*(R934/J934)^2))</f>
        <v/>
      </c>
      <c r="U934" s="7" t="n"/>
      <c r="V934" s="7" t="n"/>
    </row>
    <row r="935">
      <c r="A935" s="7" t="inlineStr">
        <is>
          <t>B-11/2-0.5-i1</t>
        </is>
      </c>
      <c r="B935" s="7" t="inlineStr">
        <is>
          <t>1 1/2</t>
        </is>
      </c>
      <c r="C935" s="7" t="inlineStr">
        <is>
          <t>B</t>
        </is>
      </c>
      <c r="D935" s="7" t="inlineStr">
        <is>
          <t>B (.815)</t>
        </is>
      </c>
      <c r="E935" s="7" t="n">
        <v>0.5</v>
      </c>
      <c r="F935" s="7" t="n">
        <v>1</v>
      </c>
      <c r="G935" s="8" t="n"/>
      <c r="H935" s="27" t="n"/>
      <c r="I935" s="27" t="n"/>
      <c r="J935" s="8" t="n"/>
      <c r="K935" s="8" t="n"/>
      <c r="L935" s="10" t="n"/>
      <c r="M935" s="8" t="n"/>
      <c r="N935" s="11">
        <f>IF(OR(J935="",H935="",I935=""),"",J935/((I935-H935)*1440))</f>
        <v/>
      </c>
      <c r="O935" s="7" t="n"/>
      <c r="P935" s="7" t="n"/>
      <c r="Q935" s="7" t="n"/>
      <c r="R935" s="12" t="n"/>
      <c r="S935" s="13">
        <f>IF(OR(R935="",J935=""),"",R935/J935-1)</f>
        <v/>
      </c>
      <c r="T935" s="14">
        <f>IF(OR(L935="",R935="",J935=""),"",SQRT(4+(L935^2-4)*(R935/J935)^2))</f>
        <v/>
      </c>
      <c r="U935" s="7" t="n"/>
      <c r="V935" s="7" t="n"/>
    </row>
    <row r="936">
      <c r="A936" s="7" t="inlineStr">
        <is>
          <t>B-11/2-0.5-i2</t>
        </is>
      </c>
      <c r="B936" s="7" t="inlineStr">
        <is>
          <t>1 1/2</t>
        </is>
      </c>
      <c r="C936" s="7" t="inlineStr">
        <is>
          <t>B</t>
        </is>
      </c>
      <c r="D936" s="7" t="inlineStr">
        <is>
          <t>B (.815)</t>
        </is>
      </c>
      <c r="E936" s="7" t="n">
        <v>0.5</v>
      </c>
      <c r="F936" s="7" t="n">
        <v>2</v>
      </c>
      <c r="G936" s="8" t="n"/>
      <c r="H936" s="27" t="n"/>
      <c r="I936" s="27" t="n"/>
      <c r="J936" s="8" t="n"/>
      <c r="K936" s="8" t="n"/>
      <c r="L936" s="10" t="n"/>
      <c r="M936" s="8" t="n"/>
      <c r="N936" s="11">
        <f>IF(OR(J936="",H936="",I936=""),"",J936/((I936-H936)*1440))</f>
        <v/>
      </c>
      <c r="O936" s="7" t="n"/>
      <c r="P936" s="7" t="n"/>
      <c r="Q936" s="7" t="n"/>
      <c r="R936" s="12" t="n"/>
      <c r="S936" s="13">
        <f>IF(OR(R936="",J936=""),"",R936/J936-1)</f>
        <v/>
      </c>
      <c r="T936" s="14">
        <f>IF(OR(L936="",R936="",J936=""),"",SQRT(4+(L936^2-4)*(R936/J936)^2))</f>
        <v/>
      </c>
      <c r="U936" s="7" t="n"/>
      <c r="V936" s="7" t="n"/>
    </row>
    <row r="937">
      <c r="A937" s="7" t="inlineStr">
        <is>
          <t>B-11/2-0.5-i3</t>
        </is>
      </c>
      <c r="B937" s="7" t="inlineStr">
        <is>
          <t>1 1/2</t>
        </is>
      </c>
      <c r="C937" s="7" t="inlineStr">
        <is>
          <t>B</t>
        </is>
      </c>
      <c r="D937" s="7" t="inlineStr">
        <is>
          <t>B (.815)</t>
        </is>
      </c>
      <c r="E937" s="7" t="n">
        <v>0.5</v>
      </c>
      <c r="F937" s="7" t="n">
        <v>3</v>
      </c>
      <c r="G937" s="8" t="n"/>
      <c r="H937" s="27" t="n"/>
      <c r="I937" s="27" t="n"/>
      <c r="J937" s="8" t="n"/>
      <c r="K937" s="8" t="n"/>
      <c r="L937" s="10" t="n"/>
      <c r="M937" s="8" t="n"/>
      <c r="N937" s="11">
        <f>IF(OR(J937="",H937="",I937=""),"",J937/((I937-H937)*1440))</f>
        <v/>
      </c>
      <c r="O937" s="7" t="n"/>
      <c r="P937" s="7" t="n"/>
      <c r="Q937" s="7" t="n"/>
      <c r="R937" s="12" t="n"/>
      <c r="S937" s="13">
        <f>IF(OR(R937="",J937=""),"",R937/J937-1)</f>
        <v/>
      </c>
      <c r="T937" s="14">
        <f>IF(OR(L937="",R937="",J937=""),"",SQRT(4+(L937^2-4)*(R937/J937)^2))</f>
        <v/>
      </c>
      <c r="U937" s="7" t="n"/>
      <c r="V937" s="7" t="n"/>
    </row>
    <row r="938">
      <c r="A938" s="7" t="inlineStr">
        <is>
          <t>B-11/2-1-i1</t>
        </is>
      </c>
      <c r="B938" s="7" t="inlineStr">
        <is>
          <t>1 1/2</t>
        </is>
      </c>
      <c r="C938" s="7" t="inlineStr">
        <is>
          <t>B</t>
        </is>
      </c>
      <c r="D938" s="7" t="inlineStr">
        <is>
          <t>B (.815)</t>
        </is>
      </c>
      <c r="E938" s="7" t="n">
        <v>1</v>
      </c>
      <c r="F938" s="7" t="n">
        <v>1</v>
      </c>
      <c r="G938" s="8" t="n"/>
      <c r="H938" s="27" t="n"/>
      <c r="I938" s="27" t="n"/>
      <c r="J938" s="8" t="n"/>
      <c r="K938" s="8" t="n"/>
      <c r="L938" s="10" t="n"/>
      <c r="M938" s="8" t="n"/>
      <c r="N938" s="11">
        <f>IF(OR(J938="",H938="",I938=""),"",J938/((I938-H938)*1440))</f>
        <v/>
      </c>
      <c r="O938" s="7" t="n"/>
      <c r="P938" s="7" t="n"/>
      <c r="Q938" s="7" t="n"/>
      <c r="R938" s="12" t="n"/>
      <c r="S938" s="13">
        <f>IF(OR(R938="",J938=""),"",R938/J938-1)</f>
        <v/>
      </c>
      <c r="T938" s="14">
        <f>IF(OR(L938="",R938="",J938=""),"",SQRT(4+(L938^2-4)*(R938/J938)^2))</f>
        <v/>
      </c>
      <c r="U938" s="7" t="n"/>
      <c r="V938" s="7" t="n"/>
    </row>
    <row r="939">
      <c r="A939" s="7" t="inlineStr">
        <is>
          <t>B-11/2-1-i2</t>
        </is>
      </c>
      <c r="B939" s="7" t="inlineStr">
        <is>
          <t>1 1/2</t>
        </is>
      </c>
      <c r="C939" s="7" t="inlineStr">
        <is>
          <t>B</t>
        </is>
      </c>
      <c r="D939" s="7" t="inlineStr">
        <is>
          <t>B (.815)</t>
        </is>
      </c>
      <c r="E939" s="7" t="n">
        <v>1</v>
      </c>
      <c r="F939" s="7" t="n">
        <v>2</v>
      </c>
      <c r="G939" s="8" t="n"/>
      <c r="H939" s="27" t="n"/>
      <c r="I939" s="27" t="n"/>
      <c r="J939" s="8" t="n"/>
      <c r="K939" s="8" t="n"/>
      <c r="L939" s="10" t="n"/>
      <c r="M939" s="8" t="n"/>
      <c r="N939" s="11">
        <f>IF(OR(J939="",H939="",I939=""),"",J939/((I939-H939)*1440))</f>
        <v/>
      </c>
      <c r="O939" s="7" t="n"/>
      <c r="P939" s="7" t="n"/>
      <c r="Q939" s="7" t="n"/>
      <c r="R939" s="12" t="n"/>
      <c r="S939" s="13">
        <f>IF(OR(R939="",J939=""),"",R939/J939-1)</f>
        <v/>
      </c>
      <c r="T939" s="14">
        <f>IF(OR(L939="",R939="",J939=""),"",SQRT(4+(L939^2-4)*(R939/J939)^2))</f>
        <v/>
      </c>
      <c r="U939" s="7" t="n"/>
      <c r="V939" s="7" t="n"/>
    </row>
    <row r="940">
      <c r="A940" s="7" t="inlineStr">
        <is>
          <t>B-11/2-1-i3</t>
        </is>
      </c>
      <c r="B940" s="7" t="inlineStr">
        <is>
          <t>1 1/2</t>
        </is>
      </c>
      <c r="C940" s="7" t="inlineStr">
        <is>
          <t>B</t>
        </is>
      </c>
      <c r="D940" s="7" t="inlineStr">
        <is>
          <t>B (.815)</t>
        </is>
      </c>
      <c r="E940" s="7" t="n">
        <v>1</v>
      </c>
      <c r="F940" s="7" t="n">
        <v>3</v>
      </c>
      <c r="G940" s="8" t="n"/>
      <c r="H940" s="27" t="n"/>
      <c r="I940" s="27" t="n"/>
      <c r="J940" s="8" t="n"/>
      <c r="K940" s="8" t="n"/>
      <c r="L940" s="10" t="n"/>
      <c r="M940" s="8" t="n"/>
      <c r="N940" s="11">
        <f>IF(OR(J940="",H940="",I940=""),"",J940/((I940-H940)*1440))</f>
        <v/>
      </c>
      <c r="O940" s="7" t="n"/>
      <c r="P940" s="7" t="n"/>
      <c r="Q940" s="7" t="n"/>
      <c r="R940" s="12" t="n"/>
      <c r="S940" s="13">
        <f>IF(OR(R940="",J940=""),"",R940/J940-1)</f>
        <v/>
      </c>
      <c r="T940" s="14">
        <f>IF(OR(L940="",R940="",J940=""),"",SQRT(4+(L940^2-4)*(R940/J940)^2))</f>
        <v/>
      </c>
      <c r="U940" s="7" t="n"/>
      <c r="V940" s="7" t="n"/>
    </row>
    <row r="941">
      <c r="A941" s="7" t="inlineStr">
        <is>
          <t>B-11/2-3-i1</t>
        </is>
      </c>
      <c r="B941" s="7" t="inlineStr">
        <is>
          <t>1 1/2</t>
        </is>
      </c>
      <c r="C941" s="7" t="inlineStr">
        <is>
          <t>B</t>
        </is>
      </c>
      <c r="D941" s="7" t="inlineStr">
        <is>
          <t>B (.815)</t>
        </is>
      </c>
      <c r="E941" s="7" t="n">
        <v>3</v>
      </c>
      <c r="F941" s="7" t="n">
        <v>1</v>
      </c>
      <c r="G941" s="8" t="n"/>
      <c r="H941" s="27" t="n"/>
      <c r="I941" s="27" t="n"/>
      <c r="J941" s="8" t="n"/>
      <c r="K941" s="8" t="n"/>
      <c r="L941" s="10" t="n"/>
      <c r="M941" s="8" t="n"/>
      <c r="N941" s="11">
        <f>IF(OR(J941="",H941="",I941=""),"",J941/((I941-H941)*1440))</f>
        <v/>
      </c>
      <c r="O941" s="7" t="n"/>
      <c r="P941" s="7" t="n"/>
      <c r="Q941" s="7" t="n"/>
      <c r="R941" s="12" t="n"/>
      <c r="S941" s="13">
        <f>IF(OR(R941="",J941=""),"",R941/J941-1)</f>
        <v/>
      </c>
      <c r="T941" s="14">
        <f>IF(OR(L941="",R941="",J941=""),"",SQRT(4+(L941^2-4)*(R941/J941)^2))</f>
        <v/>
      </c>
      <c r="U941" s="7" t="n"/>
      <c r="V941" s="7" t="n"/>
    </row>
    <row r="942">
      <c r="A942" s="7" t="inlineStr">
        <is>
          <t>B-11/2-3-i2</t>
        </is>
      </c>
      <c r="B942" s="7" t="inlineStr">
        <is>
          <t>1 1/2</t>
        </is>
      </c>
      <c r="C942" s="7" t="inlineStr">
        <is>
          <t>B</t>
        </is>
      </c>
      <c r="D942" s="7" t="inlineStr">
        <is>
          <t>B (.815)</t>
        </is>
      </c>
      <c r="E942" s="7" t="n">
        <v>3</v>
      </c>
      <c r="F942" s="7" t="n">
        <v>2</v>
      </c>
      <c r="G942" s="8" t="n"/>
      <c r="H942" s="27" t="n"/>
      <c r="I942" s="27" t="n"/>
      <c r="J942" s="8" t="n"/>
      <c r="K942" s="8" t="n"/>
      <c r="L942" s="10" t="n"/>
      <c r="M942" s="8" t="n"/>
      <c r="N942" s="11">
        <f>IF(OR(J942="",H942="",I942=""),"",J942/((I942-H942)*1440))</f>
        <v/>
      </c>
      <c r="O942" s="7" t="n"/>
      <c r="P942" s="7" t="n"/>
      <c r="Q942" s="7" t="n"/>
      <c r="R942" s="12" t="n"/>
      <c r="S942" s="13">
        <f>IF(OR(R942="",J942=""),"",R942/J942-1)</f>
        <v/>
      </c>
      <c r="T942" s="14">
        <f>IF(OR(L942="",R942="",J942=""),"",SQRT(4+(L942^2-4)*(R942/J942)^2))</f>
        <v/>
      </c>
      <c r="U942" s="7" t="n"/>
      <c r="V942" s="7" t="n"/>
    </row>
    <row r="943">
      <c r="A943" s="7" t="inlineStr">
        <is>
          <t>B-11/2-3-i3</t>
        </is>
      </c>
      <c r="B943" s="7" t="inlineStr">
        <is>
          <t>1 1/2</t>
        </is>
      </c>
      <c r="C943" s="7" t="inlineStr">
        <is>
          <t>B</t>
        </is>
      </c>
      <c r="D943" s="7" t="inlineStr">
        <is>
          <t>B (.815)</t>
        </is>
      </c>
      <c r="E943" s="7" t="n">
        <v>3</v>
      </c>
      <c r="F943" s="7" t="n">
        <v>3</v>
      </c>
      <c r="G943" s="8" t="n"/>
      <c r="H943" s="27" t="n"/>
      <c r="I943" s="27" t="n"/>
      <c r="J943" s="8" t="n"/>
      <c r="K943" s="8" t="n"/>
      <c r="L943" s="10" t="n"/>
      <c r="M943" s="8" t="n"/>
      <c r="N943" s="11">
        <f>IF(OR(J943="",H943="",I943=""),"",J943/((I943-H943)*1440))</f>
        <v/>
      </c>
      <c r="O943" s="7" t="n"/>
      <c r="P943" s="7" t="n"/>
      <c r="Q943" s="7" t="n"/>
      <c r="R943" s="12" t="n"/>
      <c r="S943" s="13">
        <f>IF(OR(R943="",J943=""),"",R943/J943-1)</f>
        <v/>
      </c>
      <c r="T943" s="14">
        <f>IF(OR(L943="",R943="",J943=""),"",SQRT(4+(L943^2-4)*(R943/J943)^2))</f>
        <v/>
      </c>
      <c r="U943" s="7" t="n"/>
      <c r="V943" s="7" t="n"/>
    </row>
    <row r="944">
      <c r="A944" s="7" t="inlineStr">
        <is>
          <t>B-11/2-5-i1</t>
        </is>
      </c>
      <c r="B944" s="7" t="inlineStr">
        <is>
          <t>1 1/2</t>
        </is>
      </c>
      <c r="C944" s="7" t="inlineStr">
        <is>
          <t>B</t>
        </is>
      </c>
      <c r="D944" s="7" t="inlineStr">
        <is>
          <t>B (.815)</t>
        </is>
      </c>
      <c r="E944" s="7" t="n">
        <v>5</v>
      </c>
      <c r="F944" s="7" t="n">
        <v>1</v>
      </c>
      <c r="G944" s="8" t="n"/>
      <c r="H944" s="27" t="n"/>
      <c r="I944" s="27" t="n"/>
      <c r="J944" s="8" t="n"/>
      <c r="K944" s="8" t="n"/>
      <c r="L944" s="10" t="n"/>
      <c r="M944" s="8" t="n"/>
      <c r="N944" s="11">
        <f>IF(OR(J944="",H944="",I944=""),"",J944/((I944-H944)*1440))</f>
        <v/>
      </c>
      <c r="O944" s="7" t="n"/>
      <c r="P944" s="7" t="n"/>
      <c r="Q944" s="7" t="n"/>
      <c r="R944" s="12" t="n"/>
      <c r="S944" s="13">
        <f>IF(OR(R944="",J944=""),"",R944/J944-1)</f>
        <v/>
      </c>
      <c r="T944" s="14">
        <f>IF(OR(L944="",R944="",J944=""),"",SQRT(4+(L944^2-4)*(R944/J944)^2))</f>
        <v/>
      </c>
      <c r="U944" s="7" t="n"/>
      <c r="V944" s="7" t="n"/>
    </row>
    <row r="945">
      <c r="A945" s="7" t="inlineStr">
        <is>
          <t>B-11/2-5-i2</t>
        </is>
      </c>
      <c r="B945" s="7" t="inlineStr">
        <is>
          <t>1 1/2</t>
        </is>
      </c>
      <c r="C945" s="7" t="inlineStr">
        <is>
          <t>B</t>
        </is>
      </c>
      <c r="D945" s="7" t="inlineStr">
        <is>
          <t>B (.815)</t>
        </is>
      </c>
      <c r="E945" s="7" t="n">
        <v>5</v>
      </c>
      <c r="F945" s="7" t="n">
        <v>2</v>
      </c>
      <c r="G945" s="8" t="n"/>
      <c r="H945" s="27" t="n"/>
      <c r="I945" s="27" t="n"/>
      <c r="J945" s="8" t="n"/>
      <c r="K945" s="8" t="n"/>
      <c r="L945" s="10" t="n"/>
      <c r="M945" s="8" t="n"/>
      <c r="N945" s="11">
        <f>IF(OR(J945="",H945="",I945=""),"",J945/((I945-H945)*1440))</f>
        <v/>
      </c>
      <c r="O945" s="7" t="n"/>
      <c r="P945" s="7" t="n"/>
      <c r="Q945" s="7" t="n"/>
      <c r="R945" s="12" t="n"/>
      <c r="S945" s="13">
        <f>IF(OR(R945="",J945=""),"",R945/J945-1)</f>
        <v/>
      </c>
      <c r="T945" s="14">
        <f>IF(OR(L945="",R945="",J945=""),"",SQRT(4+(L945^2-4)*(R945/J945)^2))</f>
        <v/>
      </c>
      <c r="U945" s="7" t="n"/>
      <c r="V945" s="7" t="n"/>
    </row>
    <row r="946">
      <c r="A946" s="7" t="inlineStr">
        <is>
          <t>B-11/2-5-i3</t>
        </is>
      </c>
      <c r="B946" s="7" t="inlineStr">
        <is>
          <t>1 1/2</t>
        </is>
      </c>
      <c r="C946" s="7" t="inlineStr">
        <is>
          <t>B</t>
        </is>
      </c>
      <c r="D946" s="7" t="inlineStr">
        <is>
          <t>B (.815)</t>
        </is>
      </c>
      <c r="E946" s="7" t="n">
        <v>5</v>
      </c>
      <c r="F946" s="7" t="n">
        <v>3</v>
      </c>
      <c r="G946" s="8" t="n"/>
      <c r="H946" s="27" t="n"/>
      <c r="I946" s="27" t="n"/>
      <c r="J946" s="8" t="n"/>
      <c r="K946" s="8" t="n"/>
      <c r="L946" s="10" t="n"/>
      <c r="M946" s="8" t="n"/>
      <c r="N946" s="11">
        <f>IF(OR(J946="",H946="",I946=""),"",J946/((I946-H946)*1440))</f>
        <v/>
      </c>
      <c r="O946" s="7" t="n"/>
      <c r="P946" s="7" t="n"/>
      <c r="Q946" s="7" t="n"/>
      <c r="R946" s="12" t="n"/>
      <c r="S946" s="13">
        <f>IF(OR(R946="",J946=""),"",R946/J946-1)</f>
        <v/>
      </c>
      <c r="T946" s="14">
        <f>IF(OR(L946="",R946="",J946=""),"",SQRT(4+(L946^2-4)*(R946/J946)^2))</f>
        <v/>
      </c>
      <c r="U946" s="7" t="n"/>
      <c r="V946" s="7" t="n"/>
    </row>
    <row r="947">
      <c r="A947" s="7" t="inlineStr">
        <is>
          <t>B-11/2-10-i1</t>
        </is>
      </c>
      <c r="B947" s="7" t="inlineStr">
        <is>
          <t>1 1/2</t>
        </is>
      </c>
      <c r="C947" s="7" t="inlineStr">
        <is>
          <t>B</t>
        </is>
      </c>
      <c r="D947" s="7" t="inlineStr">
        <is>
          <t>B (.815)</t>
        </is>
      </c>
      <c r="E947" s="7" t="n">
        <v>10</v>
      </c>
      <c r="F947" s="7" t="n">
        <v>1</v>
      </c>
      <c r="G947" s="8" t="n"/>
      <c r="H947" s="27" t="n"/>
      <c r="I947" s="27" t="n"/>
      <c r="J947" s="8" t="n"/>
      <c r="K947" s="8" t="n"/>
      <c r="L947" s="10" t="n"/>
      <c r="M947" s="8" t="n"/>
      <c r="N947" s="11">
        <f>IF(OR(J947="",H947="",I947=""),"",J947/((I947-H947)*1440))</f>
        <v/>
      </c>
      <c r="O947" s="7" t="n"/>
      <c r="P947" s="7" t="n"/>
      <c r="Q947" s="7" t="n"/>
      <c r="R947" s="12" t="n"/>
      <c r="S947" s="13">
        <f>IF(OR(R947="",J947=""),"",R947/J947-1)</f>
        <v/>
      </c>
      <c r="T947" s="14">
        <f>IF(OR(L947="",R947="",J947=""),"",SQRT(4+(L947^2-4)*(R947/J947)^2))</f>
        <v/>
      </c>
      <c r="U947" s="7" t="n"/>
      <c r="V947" s="7" t="n"/>
    </row>
    <row r="948">
      <c r="A948" s="7" t="inlineStr">
        <is>
          <t>B-11/2-10-i2</t>
        </is>
      </c>
      <c r="B948" s="7" t="inlineStr">
        <is>
          <t>1 1/2</t>
        </is>
      </c>
      <c r="C948" s="7" t="inlineStr">
        <is>
          <t>B</t>
        </is>
      </c>
      <c r="D948" s="7" t="inlineStr">
        <is>
          <t>B (.815)</t>
        </is>
      </c>
      <c r="E948" s="7" t="n">
        <v>10</v>
      </c>
      <c r="F948" s="7" t="n">
        <v>2</v>
      </c>
      <c r="G948" s="8" t="n"/>
      <c r="H948" s="27" t="n"/>
      <c r="I948" s="27" t="n"/>
      <c r="J948" s="8" t="n"/>
      <c r="K948" s="8" t="n"/>
      <c r="L948" s="10" t="n"/>
      <c r="M948" s="8" t="n"/>
      <c r="N948" s="11">
        <f>IF(OR(J948="",H948="",I948=""),"",J948/((I948-H948)*1440))</f>
        <v/>
      </c>
      <c r="O948" s="7" t="n"/>
      <c r="P948" s="7" t="n"/>
      <c r="Q948" s="7" t="n"/>
      <c r="R948" s="12" t="n"/>
      <c r="S948" s="13">
        <f>IF(OR(R948="",J948=""),"",R948/J948-1)</f>
        <v/>
      </c>
      <c r="T948" s="14">
        <f>IF(OR(L948="",R948="",J948=""),"",SQRT(4+(L948^2-4)*(R948/J948)^2))</f>
        <v/>
      </c>
      <c r="U948" s="7" t="n"/>
      <c r="V948" s="7" t="n"/>
    </row>
    <row r="949">
      <c r="A949" s="7" t="inlineStr">
        <is>
          <t>B-11/2-10-i3</t>
        </is>
      </c>
      <c r="B949" s="7" t="inlineStr">
        <is>
          <t>1 1/2</t>
        </is>
      </c>
      <c r="C949" s="7" t="inlineStr">
        <is>
          <t>B</t>
        </is>
      </c>
      <c r="D949" s="7" t="inlineStr">
        <is>
          <t>B (.815)</t>
        </is>
      </c>
      <c r="E949" s="7" t="n">
        <v>10</v>
      </c>
      <c r="F949" s="7" t="n">
        <v>3</v>
      </c>
      <c r="G949" s="8" t="n"/>
      <c r="H949" s="27" t="n"/>
      <c r="I949" s="27" t="n"/>
      <c r="J949" s="8" t="n"/>
      <c r="K949" s="8" t="n"/>
      <c r="L949" s="10" t="n"/>
      <c r="M949" s="8" t="n"/>
      <c r="N949" s="11">
        <f>IF(OR(J949="",H949="",I949=""),"",J949/((I949-H949)*1440))</f>
        <v/>
      </c>
      <c r="O949" s="7" t="n"/>
      <c r="P949" s="7" t="n"/>
      <c r="Q949" s="7" t="n"/>
      <c r="R949" s="12" t="n"/>
      <c r="S949" s="13">
        <f>IF(OR(R949="",J949=""),"",R949/J949-1)</f>
        <v/>
      </c>
      <c r="T949" s="14">
        <f>IF(OR(L949="",R949="",J949=""),"",SQRT(4+(L949^2-4)*(R949/J949)^2))</f>
        <v/>
      </c>
      <c r="U949" s="7" t="n"/>
      <c r="V949" s="7" t="n"/>
    </row>
    <row r="950">
      <c r="A950" s="7" t="inlineStr">
        <is>
          <t>b-11/2-0.5-i1</t>
        </is>
      </c>
      <c r="B950" s="7" t="inlineStr">
        <is>
          <t>1 1/2</t>
        </is>
      </c>
      <c r="C950" s="7" t="inlineStr">
        <is>
          <t>b</t>
        </is>
      </c>
      <c r="D950" s="7" t="inlineStr">
        <is>
          <t>b (.825)</t>
        </is>
      </c>
      <c r="E950" s="7" t="n">
        <v>0.5</v>
      </c>
      <c r="F950" s="7" t="n">
        <v>1</v>
      </c>
      <c r="G950" s="8" t="n"/>
      <c r="H950" s="27" t="n"/>
      <c r="I950" s="27" t="n"/>
      <c r="J950" s="8" t="n"/>
      <c r="K950" s="8" t="n"/>
      <c r="L950" s="10" t="n"/>
      <c r="M950" s="8" t="n"/>
      <c r="N950" s="11">
        <f>IF(OR(J950="",H950="",I950=""),"",J950/((I950-H950)*1440))</f>
        <v/>
      </c>
      <c r="O950" s="7" t="n"/>
      <c r="P950" s="7" t="n"/>
      <c r="Q950" s="7" t="n"/>
      <c r="R950" s="12" t="n"/>
      <c r="S950" s="13">
        <f>IF(OR(R950="",J950=""),"",R950/J950-1)</f>
        <v/>
      </c>
      <c r="T950" s="14">
        <f>IF(OR(L950="",R950="",J950=""),"",SQRT(4+(L950^2-4)*(R950/J950)^2))</f>
        <v/>
      </c>
      <c r="U950" s="7" t="n"/>
      <c r="V950" s="7" t="n"/>
    </row>
    <row r="951">
      <c r="A951" s="7" t="inlineStr">
        <is>
          <t>b-11/2-0.5-i2</t>
        </is>
      </c>
      <c r="B951" s="7" t="inlineStr">
        <is>
          <t>1 1/2</t>
        </is>
      </c>
      <c r="C951" s="7" t="inlineStr">
        <is>
          <t>b</t>
        </is>
      </c>
      <c r="D951" s="7" t="inlineStr">
        <is>
          <t>b (.825)</t>
        </is>
      </c>
      <c r="E951" s="7" t="n">
        <v>0.5</v>
      </c>
      <c r="F951" s="7" t="n">
        <v>2</v>
      </c>
      <c r="G951" s="8" t="n"/>
      <c r="H951" s="27" t="n"/>
      <c r="I951" s="27" t="n"/>
      <c r="J951" s="8" t="n"/>
      <c r="K951" s="8" t="n"/>
      <c r="L951" s="10" t="n"/>
      <c r="M951" s="8" t="n"/>
      <c r="N951" s="11">
        <f>IF(OR(J951="",H951="",I951=""),"",J951/((I951-H951)*1440))</f>
        <v/>
      </c>
      <c r="O951" s="7" t="n"/>
      <c r="P951" s="7" t="n"/>
      <c r="Q951" s="7" t="n"/>
      <c r="R951" s="12" t="n"/>
      <c r="S951" s="13">
        <f>IF(OR(R951="",J951=""),"",R951/J951-1)</f>
        <v/>
      </c>
      <c r="T951" s="14">
        <f>IF(OR(L951="",R951="",J951=""),"",SQRT(4+(L951^2-4)*(R951/J951)^2))</f>
        <v/>
      </c>
      <c r="U951" s="7" t="n"/>
      <c r="V951" s="7" t="n"/>
    </row>
    <row r="952">
      <c r="A952" s="7" t="inlineStr">
        <is>
          <t>b-11/2-0.5-i3</t>
        </is>
      </c>
      <c r="B952" s="7" t="inlineStr">
        <is>
          <t>1 1/2</t>
        </is>
      </c>
      <c r="C952" s="7" t="inlineStr">
        <is>
          <t>b</t>
        </is>
      </c>
      <c r="D952" s="7" t="inlineStr">
        <is>
          <t>b (.825)</t>
        </is>
      </c>
      <c r="E952" s="7" t="n">
        <v>0.5</v>
      </c>
      <c r="F952" s="7" t="n">
        <v>3</v>
      </c>
      <c r="G952" s="8" t="n"/>
      <c r="H952" s="27" t="n"/>
      <c r="I952" s="27" t="n"/>
      <c r="J952" s="8" t="n"/>
      <c r="K952" s="8" t="n"/>
      <c r="L952" s="10" t="n"/>
      <c r="M952" s="8" t="n"/>
      <c r="N952" s="11">
        <f>IF(OR(J952="",H952="",I952=""),"",J952/((I952-H952)*1440))</f>
        <v/>
      </c>
      <c r="O952" s="7" t="n"/>
      <c r="P952" s="7" t="n"/>
      <c r="Q952" s="7" t="n"/>
      <c r="R952" s="12" t="n"/>
      <c r="S952" s="13">
        <f>IF(OR(R952="",J952=""),"",R952/J952-1)</f>
        <v/>
      </c>
      <c r="T952" s="14">
        <f>IF(OR(L952="",R952="",J952=""),"",SQRT(4+(L952^2-4)*(R952/J952)^2))</f>
        <v/>
      </c>
      <c r="U952" s="7" t="n"/>
      <c r="V952" s="7" t="n"/>
    </row>
    <row r="953">
      <c r="A953" s="7" t="inlineStr">
        <is>
          <t>b-11/2-1-i1</t>
        </is>
      </c>
      <c r="B953" s="7" t="inlineStr">
        <is>
          <t>1 1/2</t>
        </is>
      </c>
      <c r="C953" s="7" t="inlineStr">
        <is>
          <t>b</t>
        </is>
      </c>
      <c r="D953" s="7" t="inlineStr">
        <is>
          <t>b (.825)</t>
        </is>
      </c>
      <c r="E953" s="7" t="n">
        <v>1</v>
      </c>
      <c r="F953" s="7" t="n">
        <v>1</v>
      </c>
      <c r="G953" s="8" t="n"/>
      <c r="H953" s="27" t="n"/>
      <c r="I953" s="27" t="n"/>
      <c r="J953" s="8" t="n"/>
      <c r="K953" s="8" t="n"/>
      <c r="L953" s="10" t="n"/>
      <c r="M953" s="8" t="n"/>
      <c r="N953" s="11">
        <f>IF(OR(J953="",H953="",I953=""),"",J953/((I953-H953)*1440))</f>
        <v/>
      </c>
      <c r="O953" s="7" t="n"/>
      <c r="P953" s="7" t="n"/>
      <c r="Q953" s="7" t="n"/>
      <c r="R953" s="12" t="n"/>
      <c r="S953" s="13">
        <f>IF(OR(R953="",J953=""),"",R953/J953-1)</f>
        <v/>
      </c>
      <c r="T953" s="14">
        <f>IF(OR(L953="",R953="",J953=""),"",SQRT(4+(L953^2-4)*(R953/J953)^2))</f>
        <v/>
      </c>
      <c r="U953" s="7" t="n"/>
      <c r="V953" s="7" t="n"/>
    </row>
    <row r="954">
      <c r="A954" s="7" t="inlineStr">
        <is>
          <t>b-11/2-1-i2</t>
        </is>
      </c>
      <c r="B954" s="7" t="inlineStr">
        <is>
          <t>1 1/2</t>
        </is>
      </c>
      <c r="C954" s="7" t="inlineStr">
        <is>
          <t>b</t>
        </is>
      </c>
      <c r="D954" s="7" t="inlineStr">
        <is>
          <t>b (.825)</t>
        </is>
      </c>
      <c r="E954" s="7" t="n">
        <v>1</v>
      </c>
      <c r="F954" s="7" t="n">
        <v>2</v>
      </c>
      <c r="G954" s="8" t="n"/>
      <c r="H954" s="27" t="n"/>
      <c r="I954" s="27" t="n"/>
      <c r="J954" s="8" t="n"/>
      <c r="K954" s="8" t="n"/>
      <c r="L954" s="10" t="n"/>
      <c r="M954" s="8" t="n"/>
      <c r="N954" s="11">
        <f>IF(OR(J954="",H954="",I954=""),"",J954/((I954-H954)*1440))</f>
        <v/>
      </c>
      <c r="O954" s="7" t="n"/>
      <c r="P954" s="7" t="n"/>
      <c r="Q954" s="7" t="n"/>
      <c r="R954" s="12" t="n"/>
      <c r="S954" s="13">
        <f>IF(OR(R954="",J954=""),"",R954/J954-1)</f>
        <v/>
      </c>
      <c r="T954" s="14">
        <f>IF(OR(L954="",R954="",J954=""),"",SQRT(4+(L954^2-4)*(R954/J954)^2))</f>
        <v/>
      </c>
      <c r="U954" s="7" t="n"/>
      <c r="V954" s="7" t="n"/>
    </row>
    <row r="955">
      <c r="A955" s="7" t="inlineStr">
        <is>
          <t>b-11/2-1-i3</t>
        </is>
      </c>
      <c r="B955" s="7" t="inlineStr">
        <is>
          <t>1 1/2</t>
        </is>
      </c>
      <c r="C955" s="7" t="inlineStr">
        <is>
          <t>b</t>
        </is>
      </c>
      <c r="D955" s="7" t="inlineStr">
        <is>
          <t>b (.825)</t>
        </is>
      </c>
      <c r="E955" s="7" t="n">
        <v>1</v>
      </c>
      <c r="F955" s="7" t="n">
        <v>3</v>
      </c>
      <c r="G955" s="8" t="n"/>
      <c r="H955" s="27" t="n"/>
      <c r="I955" s="27" t="n"/>
      <c r="J955" s="8" t="n"/>
      <c r="K955" s="8" t="n"/>
      <c r="L955" s="10" t="n"/>
      <c r="M955" s="8" t="n"/>
      <c r="N955" s="11">
        <f>IF(OR(J955="",H955="",I955=""),"",J955/((I955-H955)*1440))</f>
        <v/>
      </c>
      <c r="O955" s="7" t="n"/>
      <c r="P955" s="7" t="n"/>
      <c r="Q955" s="7" t="n"/>
      <c r="R955" s="12" t="n"/>
      <c r="S955" s="13">
        <f>IF(OR(R955="",J955=""),"",R955/J955-1)</f>
        <v/>
      </c>
      <c r="T955" s="14">
        <f>IF(OR(L955="",R955="",J955=""),"",SQRT(4+(L955^2-4)*(R955/J955)^2))</f>
        <v/>
      </c>
      <c r="U955" s="7" t="n"/>
      <c r="V955" s="7" t="n"/>
    </row>
    <row r="956">
      <c r="A956" s="7" t="inlineStr">
        <is>
          <t>b-11/2-3-i1</t>
        </is>
      </c>
      <c r="B956" s="7" t="inlineStr">
        <is>
          <t>1 1/2</t>
        </is>
      </c>
      <c r="C956" s="7" t="inlineStr">
        <is>
          <t>b</t>
        </is>
      </c>
      <c r="D956" s="7" t="inlineStr">
        <is>
          <t>b (.825)</t>
        </is>
      </c>
      <c r="E956" s="7" t="n">
        <v>3</v>
      </c>
      <c r="F956" s="7" t="n">
        <v>1</v>
      </c>
      <c r="G956" s="8" t="n"/>
      <c r="H956" s="27" t="n"/>
      <c r="I956" s="27" t="n"/>
      <c r="J956" s="8" t="n"/>
      <c r="K956" s="8" t="n"/>
      <c r="L956" s="10" t="n"/>
      <c r="M956" s="8" t="n"/>
      <c r="N956" s="11">
        <f>IF(OR(J956="",H956="",I956=""),"",J956/((I956-H956)*1440))</f>
        <v/>
      </c>
      <c r="O956" s="7" t="n"/>
      <c r="P956" s="7" t="n"/>
      <c r="Q956" s="7" t="n"/>
      <c r="R956" s="12" t="n"/>
      <c r="S956" s="13">
        <f>IF(OR(R956="",J956=""),"",R956/J956-1)</f>
        <v/>
      </c>
      <c r="T956" s="14">
        <f>IF(OR(L956="",R956="",J956=""),"",SQRT(4+(L956^2-4)*(R956/J956)^2))</f>
        <v/>
      </c>
      <c r="U956" s="7" t="n"/>
      <c r="V956" s="7" t="n"/>
    </row>
    <row r="957">
      <c r="A957" s="7" t="inlineStr">
        <is>
          <t>b-11/2-3-i2</t>
        </is>
      </c>
      <c r="B957" s="7" t="inlineStr">
        <is>
          <t>1 1/2</t>
        </is>
      </c>
      <c r="C957" s="7" t="inlineStr">
        <is>
          <t>b</t>
        </is>
      </c>
      <c r="D957" s="7" t="inlineStr">
        <is>
          <t>b (.825)</t>
        </is>
      </c>
      <c r="E957" s="7" t="n">
        <v>3</v>
      </c>
      <c r="F957" s="7" t="n">
        <v>2</v>
      </c>
      <c r="G957" s="8" t="n"/>
      <c r="H957" s="27" t="n"/>
      <c r="I957" s="27" t="n"/>
      <c r="J957" s="8" t="n"/>
      <c r="K957" s="8" t="n"/>
      <c r="L957" s="10" t="n"/>
      <c r="M957" s="8" t="n"/>
      <c r="N957" s="11">
        <f>IF(OR(J957="",H957="",I957=""),"",J957/((I957-H957)*1440))</f>
        <v/>
      </c>
      <c r="O957" s="7" t="n"/>
      <c r="P957" s="7" t="n"/>
      <c r="Q957" s="7" t="n"/>
      <c r="R957" s="12" t="n"/>
      <c r="S957" s="13">
        <f>IF(OR(R957="",J957=""),"",R957/J957-1)</f>
        <v/>
      </c>
      <c r="T957" s="14">
        <f>IF(OR(L957="",R957="",J957=""),"",SQRT(4+(L957^2-4)*(R957/J957)^2))</f>
        <v/>
      </c>
      <c r="U957" s="7" t="n"/>
      <c r="V957" s="7" t="n"/>
    </row>
    <row r="958">
      <c r="A958" s="7" t="inlineStr">
        <is>
          <t>b-11/2-3-i3</t>
        </is>
      </c>
      <c r="B958" s="7" t="inlineStr">
        <is>
          <t>1 1/2</t>
        </is>
      </c>
      <c r="C958" s="7" t="inlineStr">
        <is>
          <t>b</t>
        </is>
      </c>
      <c r="D958" s="7" t="inlineStr">
        <is>
          <t>b (.825)</t>
        </is>
      </c>
      <c r="E958" s="7" t="n">
        <v>3</v>
      </c>
      <c r="F958" s="7" t="n">
        <v>3</v>
      </c>
      <c r="G958" s="8" t="n"/>
      <c r="H958" s="27" t="n"/>
      <c r="I958" s="27" t="n"/>
      <c r="J958" s="8" t="n"/>
      <c r="K958" s="8" t="n"/>
      <c r="L958" s="10" t="n"/>
      <c r="M958" s="8" t="n"/>
      <c r="N958" s="11">
        <f>IF(OR(J958="",H958="",I958=""),"",J958/((I958-H958)*1440))</f>
        <v/>
      </c>
      <c r="O958" s="7" t="n"/>
      <c r="P958" s="7" t="n"/>
      <c r="Q958" s="7" t="n"/>
      <c r="R958" s="12" t="n"/>
      <c r="S958" s="13">
        <f>IF(OR(R958="",J958=""),"",R958/J958-1)</f>
        <v/>
      </c>
      <c r="T958" s="14">
        <f>IF(OR(L958="",R958="",J958=""),"",SQRT(4+(L958^2-4)*(R958/J958)^2))</f>
        <v/>
      </c>
      <c r="U958" s="7" t="n"/>
      <c r="V958" s="7" t="n"/>
    </row>
    <row r="959">
      <c r="A959" s="7" t="inlineStr">
        <is>
          <t>b-11/2-5-i1</t>
        </is>
      </c>
      <c r="B959" s="7" t="inlineStr">
        <is>
          <t>1 1/2</t>
        </is>
      </c>
      <c r="C959" s="7" t="inlineStr">
        <is>
          <t>b</t>
        </is>
      </c>
      <c r="D959" s="7" t="inlineStr">
        <is>
          <t>b (.825)</t>
        </is>
      </c>
      <c r="E959" s="7" t="n">
        <v>5</v>
      </c>
      <c r="F959" s="7" t="n">
        <v>1</v>
      </c>
      <c r="G959" s="8" t="n"/>
      <c r="H959" s="27" t="n"/>
      <c r="I959" s="27" t="n"/>
      <c r="J959" s="8" t="n"/>
      <c r="K959" s="8" t="n"/>
      <c r="L959" s="10" t="n"/>
      <c r="M959" s="8" t="n"/>
      <c r="N959" s="11">
        <f>IF(OR(J959="",H959="",I959=""),"",J959/((I959-H959)*1440))</f>
        <v/>
      </c>
      <c r="O959" s="7" t="n"/>
      <c r="P959" s="7" t="n"/>
      <c r="Q959" s="7" t="n"/>
      <c r="R959" s="12" t="n"/>
      <c r="S959" s="13">
        <f>IF(OR(R959="",J959=""),"",R959/J959-1)</f>
        <v/>
      </c>
      <c r="T959" s="14">
        <f>IF(OR(L959="",R959="",J959=""),"",SQRT(4+(L959^2-4)*(R959/J959)^2))</f>
        <v/>
      </c>
      <c r="U959" s="7" t="n"/>
      <c r="V959" s="7" t="n"/>
    </row>
    <row r="960">
      <c r="A960" s="7" t="inlineStr">
        <is>
          <t>b-11/2-5-i2</t>
        </is>
      </c>
      <c r="B960" s="7" t="inlineStr">
        <is>
          <t>1 1/2</t>
        </is>
      </c>
      <c r="C960" s="7" t="inlineStr">
        <is>
          <t>b</t>
        </is>
      </c>
      <c r="D960" s="7" t="inlineStr">
        <is>
          <t>b (.825)</t>
        </is>
      </c>
      <c r="E960" s="7" t="n">
        <v>5</v>
      </c>
      <c r="F960" s="7" t="n">
        <v>2</v>
      </c>
      <c r="G960" s="8" t="n"/>
      <c r="H960" s="27" t="n"/>
      <c r="I960" s="27" t="n"/>
      <c r="J960" s="8" t="n"/>
      <c r="K960" s="8" t="n"/>
      <c r="L960" s="10" t="n"/>
      <c r="M960" s="8" t="n"/>
      <c r="N960" s="11">
        <f>IF(OR(J960="",H960="",I960=""),"",J960/((I960-H960)*1440))</f>
        <v/>
      </c>
      <c r="O960" s="7" t="n"/>
      <c r="P960" s="7" t="n"/>
      <c r="Q960" s="7" t="n"/>
      <c r="R960" s="12" t="n"/>
      <c r="S960" s="13">
        <f>IF(OR(R960="",J960=""),"",R960/J960-1)</f>
        <v/>
      </c>
      <c r="T960" s="14">
        <f>IF(OR(L960="",R960="",J960=""),"",SQRT(4+(L960^2-4)*(R960/J960)^2))</f>
        <v/>
      </c>
      <c r="U960" s="7" t="n"/>
      <c r="V960" s="7" t="n"/>
    </row>
    <row r="961">
      <c r="A961" s="7" t="inlineStr">
        <is>
          <t>b-11/2-5-i3</t>
        </is>
      </c>
      <c r="B961" s="7" t="inlineStr">
        <is>
          <t>1 1/2</t>
        </is>
      </c>
      <c r="C961" s="7" t="inlineStr">
        <is>
          <t>b</t>
        </is>
      </c>
      <c r="D961" s="7" t="inlineStr">
        <is>
          <t>b (.825)</t>
        </is>
      </c>
      <c r="E961" s="7" t="n">
        <v>5</v>
      </c>
      <c r="F961" s="7" t="n">
        <v>3</v>
      </c>
      <c r="G961" s="8" t="n"/>
      <c r="H961" s="27" t="n"/>
      <c r="I961" s="27" t="n"/>
      <c r="J961" s="8" t="n"/>
      <c r="K961" s="8" t="n"/>
      <c r="L961" s="10" t="n"/>
      <c r="M961" s="8" t="n"/>
      <c r="N961" s="11">
        <f>IF(OR(J961="",H961="",I961=""),"",J961/((I961-H961)*1440))</f>
        <v/>
      </c>
      <c r="O961" s="7" t="n"/>
      <c r="P961" s="7" t="n"/>
      <c r="Q961" s="7" t="n"/>
      <c r="R961" s="12" t="n"/>
      <c r="S961" s="13">
        <f>IF(OR(R961="",J961=""),"",R961/J961-1)</f>
        <v/>
      </c>
      <c r="T961" s="14">
        <f>IF(OR(L961="",R961="",J961=""),"",SQRT(4+(L961^2-4)*(R961/J961)^2))</f>
        <v/>
      </c>
      <c r="U961" s="7" t="n"/>
      <c r="V961" s="7" t="n"/>
    </row>
    <row r="962">
      <c r="A962" s="7" t="inlineStr">
        <is>
          <t>b-11/2-10-i1</t>
        </is>
      </c>
      <c r="B962" s="7" t="inlineStr">
        <is>
          <t>1 1/2</t>
        </is>
      </c>
      <c r="C962" s="7" t="inlineStr">
        <is>
          <t>b</t>
        </is>
      </c>
      <c r="D962" s="7" t="inlineStr">
        <is>
          <t>b (.825)</t>
        </is>
      </c>
      <c r="E962" s="7" t="n">
        <v>10</v>
      </c>
      <c r="F962" s="7" t="n">
        <v>1</v>
      </c>
      <c r="G962" s="8" t="n"/>
      <c r="H962" s="27" t="n"/>
      <c r="I962" s="27" t="n"/>
      <c r="J962" s="8" t="n"/>
      <c r="K962" s="8" t="n"/>
      <c r="L962" s="10" t="n"/>
      <c r="M962" s="8" t="n"/>
      <c r="N962" s="11">
        <f>IF(OR(J962="",H962="",I962=""),"",J962/((I962-H962)*1440))</f>
        <v/>
      </c>
      <c r="O962" s="7" t="n"/>
      <c r="P962" s="7" t="n"/>
      <c r="Q962" s="7" t="n"/>
      <c r="R962" s="12" t="n"/>
      <c r="S962" s="13">
        <f>IF(OR(R962="",J962=""),"",R962/J962-1)</f>
        <v/>
      </c>
      <c r="T962" s="14">
        <f>IF(OR(L962="",R962="",J962=""),"",SQRT(4+(L962^2-4)*(R962/J962)^2))</f>
        <v/>
      </c>
      <c r="U962" s="7" t="n"/>
      <c r="V962" s="7" t="n"/>
    </row>
    <row r="963">
      <c r="A963" s="7" t="inlineStr">
        <is>
          <t>b-11/2-10-i2</t>
        </is>
      </c>
      <c r="B963" s="7" t="inlineStr">
        <is>
          <t>1 1/2</t>
        </is>
      </c>
      <c r="C963" s="7" t="inlineStr">
        <is>
          <t>b</t>
        </is>
      </c>
      <c r="D963" s="7" t="inlineStr">
        <is>
          <t>b (.825)</t>
        </is>
      </c>
      <c r="E963" s="7" t="n">
        <v>10</v>
      </c>
      <c r="F963" s="7" t="n">
        <v>2</v>
      </c>
      <c r="G963" s="8" t="n"/>
      <c r="H963" s="27" t="n"/>
      <c r="I963" s="27" t="n"/>
      <c r="J963" s="8" t="n"/>
      <c r="K963" s="8" t="n"/>
      <c r="L963" s="10" t="n"/>
      <c r="M963" s="8" t="n"/>
      <c r="N963" s="11">
        <f>IF(OR(J963="",H963="",I963=""),"",J963/((I963-H963)*1440))</f>
        <v/>
      </c>
      <c r="O963" s="7" t="n"/>
      <c r="P963" s="7" t="n"/>
      <c r="Q963" s="7" t="n"/>
      <c r="R963" s="12" t="n"/>
      <c r="S963" s="13">
        <f>IF(OR(R963="",J963=""),"",R963/J963-1)</f>
        <v/>
      </c>
      <c r="T963" s="14">
        <f>IF(OR(L963="",R963="",J963=""),"",SQRT(4+(L963^2-4)*(R963/J963)^2))</f>
        <v/>
      </c>
      <c r="U963" s="7" t="n"/>
      <c r="V963" s="7" t="n"/>
    </row>
    <row r="964">
      <c r="A964" s="7" t="inlineStr">
        <is>
          <t>b-11/2-10-i3</t>
        </is>
      </c>
      <c r="B964" s="7" t="inlineStr">
        <is>
          <t>1 1/2</t>
        </is>
      </c>
      <c r="C964" s="7" t="inlineStr">
        <is>
          <t>b</t>
        </is>
      </c>
      <c r="D964" s="7" t="inlineStr">
        <is>
          <t>b (.825)</t>
        </is>
      </c>
      <c r="E964" s="7" t="n">
        <v>10</v>
      </c>
      <c r="F964" s="7" t="n">
        <v>3</v>
      </c>
      <c r="G964" s="8" t="n"/>
      <c r="H964" s="27" t="n"/>
      <c r="I964" s="27" t="n"/>
      <c r="J964" s="8" t="n"/>
      <c r="K964" s="8" t="n"/>
      <c r="L964" s="10" t="n"/>
      <c r="M964" s="8" t="n"/>
      <c r="N964" s="11">
        <f>IF(OR(J964="",H964="",I964=""),"",J964/((I964-H964)*1440))</f>
        <v/>
      </c>
      <c r="O964" s="7" t="n"/>
      <c r="P964" s="7" t="n"/>
      <c r="Q964" s="7" t="n"/>
      <c r="R964" s="12" t="n"/>
      <c r="S964" s="13">
        <f>IF(OR(R964="",J964=""),"",R964/J964-1)</f>
        <v/>
      </c>
      <c r="T964" s="14">
        <f>IF(OR(L964="",R964="",J964=""),"",SQRT(4+(L964^2-4)*(R964/J964)^2))</f>
        <v/>
      </c>
      <c r="U964" s="7" t="n"/>
      <c r="V964" s="7" t="n"/>
    </row>
    <row r="965">
      <c r="A965" s="7" t="inlineStr">
        <is>
          <t>C-11/2-0.5-i1</t>
        </is>
      </c>
      <c r="B965" s="7" t="inlineStr">
        <is>
          <t>1 1/2</t>
        </is>
      </c>
      <c r="C965" s="7" t="inlineStr">
        <is>
          <t>C</t>
        </is>
      </c>
      <c r="D965" s="7" t="inlineStr">
        <is>
          <t>C</t>
        </is>
      </c>
      <c r="E965" s="7" t="n">
        <v>0.5</v>
      </c>
      <c r="F965" s="7" t="n">
        <v>1</v>
      </c>
      <c r="G965" s="8" t="n"/>
      <c r="H965" s="27" t="n"/>
      <c r="I965" s="27" t="n"/>
      <c r="J965" s="8" t="n"/>
      <c r="K965" s="8" t="n"/>
      <c r="L965" s="10" t="n"/>
      <c r="M965" s="8" t="n"/>
      <c r="N965" s="11">
        <f>IF(OR(J965="",H965="",I965=""),"",J965/((I965-H965)*1440))</f>
        <v/>
      </c>
      <c r="O965" s="7" t="n"/>
      <c r="P965" s="7" t="n"/>
      <c r="Q965" s="7" t="n"/>
      <c r="R965" s="12" t="n"/>
      <c r="S965" s="13">
        <f>IF(OR(R965="",J965=""),"",R965/J965-1)</f>
        <v/>
      </c>
      <c r="T965" s="14">
        <f>IF(OR(L965="",R965="",J965=""),"",SQRT(4+(L965^2-4)*(R965/J965)^2))</f>
        <v/>
      </c>
      <c r="U965" s="7" t="n"/>
      <c r="V965" s="7" t="n"/>
    </row>
    <row r="966">
      <c r="A966" s="7" t="inlineStr">
        <is>
          <t>C-11/2-0.5-i2</t>
        </is>
      </c>
      <c r="B966" s="7" t="inlineStr">
        <is>
          <t>1 1/2</t>
        </is>
      </c>
      <c r="C966" s="7" t="inlineStr">
        <is>
          <t>C</t>
        </is>
      </c>
      <c r="D966" s="7" t="inlineStr">
        <is>
          <t>C</t>
        </is>
      </c>
      <c r="E966" s="7" t="n">
        <v>0.5</v>
      </c>
      <c r="F966" s="7" t="n">
        <v>2</v>
      </c>
      <c r="G966" s="8" t="n"/>
      <c r="H966" s="27" t="n"/>
      <c r="I966" s="27" t="n"/>
      <c r="J966" s="8" t="n"/>
      <c r="K966" s="8" t="n"/>
      <c r="L966" s="10" t="n"/>
      <c r="M966" s="8" t="n"/>
      <c r="N966" s="11">
        <f>IF(OR(J966="",H966="",I966=""),"",J966/((I966-H966)*1440))</f>
        <v/>
      </c>
      <c r="O966" s="7" t="n"/>
      <c r="P966" s="7" t="n"/>
      <c r="Q966" s="7" t="n"/>
      <c r="R966" s="12" t="n"/>
      <c r="S966" s="13">
        <f>IF(OR(R966="",J966=""),"",R966/J966-1)</f>
        <v/>
      </c>
      <c r="T966" s="14">
        <f>IF(OR(L966="",R966="",J966=""),"",SQRT(4+(L966^2-4)*(R966/J966)^2))</f>
        <v/>
      </c>
      <c r="U966" s="7" t="n"/>
      <c r="V966" s="7" t="n"/>
    </row>
    <row r="967">
      <c r="A967" s="7" t="inlineStr">
        <is>
          <t>C-11/2-0.5-i3</t>
        </is>
      </c>
      <c r="B967" s="7" t="inlineStr">
        <is>
          <t>1 1/2</t>
        </is>
      </c>
      <c r="C967" s="7" t="inlineStr">
        <is>
          <t>C</t>
        </is>
      </c>
      <c r="D967" s="7" t="inlineStr">
        <is>
          <t>C</t>
        </is>
      </c>
      <c r="E967" s="7" t="n">
        <v>0.5</v>
      </c>
      <c r="F967" s="7" t="n">
        <v>3</v>
      </c>
      <c r="G967" s="8" t="n"/>
      <c r="H967" s="27" t="n"/>
      <c r="I967" s="27" t="n"/>
      <c r="J967" s="8" t="n"/>
      <c r="K967" s="8" t="n"/>
      <c r="L967" s="10" t="n"/>
      <c r="M967" s="8" t="n"/>
      <c r="N967" s="11">
        <f>IF(OR(J967="",H967="",I967=""),"",J967/((I967-H967)*1440))</f>
        <v/>
      </c>
      <c r="O967" s="7" t="n"/>
      <c r="P967" s="7" t="n"/>
      <c r="Q967" s="7" t="n"/>
      <c r="R967" s="12" t="n"/>
      <c r="S967" s="13">
        <f>IF(OR(R967="",J967=""),"",R967/J967-1)</f>
        <v/>
      </c>
      <c r="T967" s="14">
        <f>IF(OR(L967="",R967="",J967=""),"",SQRT(4+(L967^2-4)*(R967/J967)^2))</f>
        <v/>
      </c>
      <c r="U967" s="7" t="n"/>
      <c r="V967" s="7" t="n"/>
    </row>
    <row r="968">
      <c r="A968" s="7" t="inlineStr">
        <is>
          <t>C-11/2-1-i1</t>
        </is>
      </c>
      <c r="B968" s="7" t="inlineStr">
        <is>
          <t>1 1/2</t>
        </is>
      </c>
      <c r="C968" s="7" t="inlineStr">
        <is>
          <t>C</t>
        </is>
      </c>
      <c r="D968" s="7" t="inlineStr">
        <is>
          <t>C</t>
        </is>
      </c>
      <c r="E968" s="7" t="n">
        <v>1</v>
      </c>
      <c r="F968" s="7" t="n">
        <v>1</v>
      </c>
      <c r="G968" s="8" t="n"/>
      <c r="H968" s="27" t="n"/>
      <c r="I968" s="27" t="n"/>
      <c r="J968" s="8" t="n"/>
      <c r="K968" s="8" t="n"/>
      <c r="L968" s="10" t="n"/>
      <c r="M968" s="8" t="n"/>
      <c r="N968" s="11">
        <f>IF(OR(J968="",H968="",I968=""),"",J968/((I968-H968)*1440))</f>
        <v/>
      </c>
      <c r="O968" s="7" t="n"/>
      <c r="P968" s="7" t="n"/>
      <c r="Q968" s="7" t="n"/>
      <c r="R968" s="12" t="n"/>
      <c r="S968" s="13">
        <f>IF(OR(R968="",J968=""),"",R968/J968-1)</f>
        <v/>
      </c>
      <c r="T968" s="14">
        <f>IF(OR(L968="",R968="",J968=""),"",SQRT(4+(L968^2-4)*(R968/J968)^2))</f>
        <v/>
      </c>
      <c r="U968" s="7" t="n"/>
      <c r="V968" s="7" t="n"/>
    </row>
    <row r="969">
      <c r="A969" s="7" t="inlineStr">
        <is>
          <t>C-11/2-1-i2</t>
        </is>
      </c>
      <c r="B969" s="7" t="inlineStr">
        <is>
          <t>1 1/2</t>
        </is>
      </c>
      <c r="C969" s="7" t="inlineStr">
        <is>
          <t>C</t>
        </is>
      </c>
      <c r="D969" s="7" t="inlineStr">
        <is>
          <t>C</t>
        </is>
      </c>
      <c r="E969" s="7" t="n">
        <v>1</v>
      </c>
      <c r="F969" s="7" t="n">
        <v>2</v>
      </c>
      <c r="G969" s="8" t="n"/>
      <c r="H969" s="27" t="n"/>
      <c r="I969" s="27" t="n"/>
      <c r="J969" s="8" t="n"/>
      <c r="K969" s="8" t="n"/>
      <c r="L969" s="10" t="n"/>
      <c r="M969" s="8" t="n"/>
      <c r="N969" s="11">
        <f>IF(OR(J969="",H969="",I969=""),"",J969/((I969-H969)*1440))</f>
        <v/>
      </c>
      <c r="O969" s="7" t="n"/>
      <c r="P969" s="7" t="n"/>
      <c r="Q969" s="7" t="n"/>
      <c r="R969" s="12" t="n"/>
      <c r="S969" s="13">
        <f>IF(OR(R969="",J969=""),"",R969/J969-1)</f>
        <v/>
      </c>
      <c r="T969" s="14">
        <f>IF(OR(L969="",R969="",J969=""),"",SQRT(4+(L969^2-4)*(R969/J969)^2))</f>
        <v/>
      </c>
      <c r="U969" s="7" t="n"/>
      <c r="V969" s="7" t="n"/>
    </row>
    <row r="970">
      <c r="A970" s="7" t="inlineStr">
        <is>
          <t>C-11/2-1-i3</t>
        </is>
      </c>
      <c r="B970" s="7" t="inlineStr">
        <is>
          <t>1 1/2</t>
        </is>
      </c>
      <c r="C970" s="7" t="inlineStr">
        <is>
          <t>C</t>
        </is>
      </c>
      <c r="D970" s="7" t="inlineStr">
        <is>
          <t>C</t>
        </is>
      </c>
      <c r="E970" s="7" t="n">
        <v>1</v>
      </c>
      <c r="F970" s="7" t="n">
        <v>3</v>
      </c>
      <c r="G970" s="8" t="n"/>
      <c r="H970" s="27" t="n"/>
      <c r="I970" s="27" t="n"/>
      <c r="J970" s="8" t="n"/>
      <c r="K970" s="8" t="n"/>
      <c r="L970" s="10" t="n"/>
      <c r="M970" s="8" t="n"/>
      <c r="N970" s="11">
        <f>IF(OR(J970="",H970="",I970=""),"",J970/((I970-H970)*1440))</f>
        <v/>
      </c>
      <c r="O970" s="7" t="n"/>
      <c r="P970" s="7" t="n"/>
      <c r="Q970" s="7" t="n"/>
      <c r="R970" s="12" t="n"/>
      <c r="S970" s="13">
        <f>IF(OR(R970="",J970=""),"",R970/J970-1)</f>
        <v/>
      </c>
      <c r="T970" s="14">
        <f>IF(OR(L970="",R970="",J970=""),"",SQRT(4+(L970^2-4)*(R970/J970)^2))</f>
        <v/>
      </c>
      <c r="U970" s="7" t="n"/>
      <c r="V970" s="7" t="n"/>
    </row>
    <row r="971">
      <c r="A971" s="7" t="inlineStr">
        <is>
          <t>C-11/2-3-i1</t>
        </is>
      </c>
      <c r="B971" s="7" t="inlineStr">
        <is>
          <t>1 1/2</t>
        </is>
      </c>
      <c r="C971" s="7" t="inlineStr">
        <is>
          <t>C</t>
        </is>
      </c>
      <c r="D971" s="7" t="inlineStr">
        <is>
          <t>C</t>
        </is>
      </c>
      <c r="E971" s="7" t="n">
        <v>3</v>
      </c>
      <c r="F971" s="7" t="n">
        <v>1</v>
      </c>
      <c r="G971" s="8" t="n"/>
      <c r="H971" s="27" t="n"/>
      <c r="I971" s="27" t="n"/>
      <c r="J971" s="8" t="n"/>
      <c r="K971" s="8" t="n"/>
      <c r="L971" s="10" t="n"/>
      <c r="M971" s="8" t="n"/>
      <c r="N971" s="11">
        <f>IF(OR(J971="",H971="",I971=""),"",J971/((I971-H971)*1440))</f>
        <v/>
      </c>
      <c r="O971" s="7" t="n"/>
      <c r="P971" s="7" t="n"/>
      <c r="Q971" s="7" t="n"/>
      <c r="R971" s="12" t="n"/>
      <c r="S971" s="13">
        <f>IF(OR(R971="",J971=""),"",R971/J971-1)</f>
        <v/>
      </c>
      <c r="T971" s="14">
        <f>IF(OR(L971="",R971="",J971=""),"",SQRT(4+(L971^2-4)*(R971/J971)^2))</f>
        <v/>
      </c>
      <c r="U971" s="7" t="n"/>
      <c r="V971" s="7" t="n"/>
    </row>
    <row r="972">
      <c r="A972" s="7" t="inlineStr">
        <is>
          <t>C-11/2-3-i2</t>
        </is>
      </c>
      <c r="B972" s="7" t="inlineStr">
        <is>
          <t>1 1/2</t>
        </is>
      </c>
      <c r="C972" s="7" t="inlineStr">
        <is>
          <t>C</t>
        </is>
      </c>
      <c r="D972" s="7" t="inlineStr">
        <is>
          <t>C</t>
        </is>
      </c>
      <c r="E972" s="7" t="n">
        <v>3</v>
      </c>
      <c r="F972" s="7" t="n">
        <v>2</v>
      </c>
      <c r="G972" s="8" t="n"/>
      <c r="H972" s="27" t="n"/>
      <c r="I972" s="27" t="n"/>
      <c r="J972" s="8" t="n"/>
      <c r="K972" s="8" t="n"/>
      <c r="L972" s="10" t="n"/>
      <c r="M972" s="8" t="n"/>
      <c r="N972" s="11">
        <f>IF(OR(J972="",H972="",I972=""),"",J972/((I972-H972)*1440))</f>
        <v/>
      </c>
      <c r="O972" s="7" t="n"/>
      <c r="P972" s="7" t="n"/>
      <c r="Q972" s="7" t="n"/>
      <c r="R972" s="12" t="n"/>
      <c r="S972" s="13">
        <f>IF(OR(R972="",J972=""),"",R972/J972-1)</f>
        <v/>
      </c>
      <c r="T972" s="14">
        <f>IF(OR(L972="",R972="",J972=""),"",SQRT(4+(L972^2-4)*(R972/J972)^2))</f>
        <v/>
      </c>
      <c r="U972" s="7" t="n"/>
      <c r="V972" s="7" t="n"/>
    </row>
    <row r="973">
      <c r="A973" s="7" t="inlineStr">
        <is>
          <t>C-11/2-3-i3</t>
        </is>
      </c>
      <c r="B973" s="7" t="inlineStr">
        <is>
          <t>1 1/2</t>
        </is>
      </c>
      <c r="C973" s="7" t="inlineStr">
        <is>
          <t>C</t>
        </is>
      </c>
      <c r="D973" s="7" t="inlineStr">
        <is>
          <t>C</t>
        </is>
      </c>
      <c r="E973" s="7" t="n">
        <v>3</v>
      </c>
      <c r="F973" s="7" t="n">
        <v>3</v>
      </c>
      <c r="G973" s="8" t="n"/>
      <c r="H973" s="27" t="n"/>
      <c r="I973" s="27" t="n"/>
      <c r="J973" s="8" t="n"/>
      <c r="K973" s="8" t="n"/>
      <c r="L973" s="10" t="n"/>
      <c r="M973" s="8" t="n"/>
      <c r="N973" s="11">
        <f>IF(OR(J973="",H973="",I973=""),"",J973/((I973-H973)*1440))</f>
        <v/>
      </c>
      <c r="O973" s="7" t="n"/>
      <c r="P973" s="7" t="n"/>
      <c r="Q973" s="7" t="n"/>
      <c r="R973" s="12" t="n"/>
      <c r="S973" s="13">
        <f>IF(OR(R973="",J973=""),"",R973/J973-1)</f>
        <v/>
      </c>
      <c r="T973" s="14">
        <f>IF(OR(L973="",R973="",J973=""),"",SQRT(4+(L973^2-4)*(R973/J973)^2))</f>
        <v/>
      </c>
      <c r="U973" s="7" t="n"/>
      <c r="V973" s="7" t="n"/>
    </row>
    <row r="974">
      <c r="A974" s="7" t="inlineStr">
        <is>
          <t>C-11/2-5-i1</t>
        </is>
      </c>
      <c r="B974" s="7" t="inlineStr">
        <is>
          <t>1 1/2</t>
        </is>
      </c>
      <c r="C974" s="7" t="inlineStr">
        <is>
          <t>C</t>
        </is>
      </c>
      <c r="D974" s="7" t="inlineStr">
        <is>
          <t>C</t>
        </is>
      </c>
      <c r="E974" s="7" t="n">
        <v>5</v>
      </c>
      <c r="F974" s="7" t="n">
        <v>1</v>
      </c>
      <c r="G974" s="8" t="n"/>
      <c r="H974" s="27" t="n"/>
      <c r="I974" s="27" t="n"/>
      <c r="J974" s="8" t="n"/>
      <c r="K974" s="8" t="n"/>
      <c r="L974" s="10" t="n"/>
      <c r="M974" s="8" t="n"/>
      <c r="N974" s="11">
        <f>IF(OR(J974="",H974="",I974=""),"",J974/((I974-H974)*1440))</f>
        <v/>
      </c>
      <c r="O974" s="7" t="n"/>
      <c r="P974" s="7" t="n"/>
      <c r="Q974" s="7" t="n"/>
      <c r="R974" s="12" t="n"/>
      <c r="S974" s="13">
        <f>IF(OR(R974="",J974=""),"",R974/J974-1)</f>
        <v/>
      </c>
      <c r="T974" s="14">
        <f>IF(OR(L974="",R974="",J974=""),"",SQRT(4+(L974^2-4)*(R974/J974)^2))</f>
        <v/>
      </c>
      <c r="U974" s="7" t="n"/>
      <c r="V974" s="7" t="n"/>
    </row>
    <row r="975">
      <c r="A975" s="7" t="inlineStr">
        <is>
          <t>C-11/2-5-i2</t>
        </is>
      </c>
      <c r="B975" s="7" t="inlineStr">
        <is>
          <t>1 1/2</t>
        </is>
      </c>
      <c r="C975" s="7" t="inlineStr">
        <is>
          <t>C</t>
        </is>
      </c>
      <c r="D975" s="7" t="inlineStr">
        <is>
          <t>C</t>
        </is>
      </c>
      <c r="E975" s="7" t="n">
        <v>5</v>
      </c>
      <c r="F975" s="7" t="n">
        <v>2</v>
      </c>
      <c r="G975" s="8" t="n"/>
      <c r="H975" s="27" t="n"/>
      <c r="I975" s="27" t="n"/>
      <c r="J975" s="8" t="n"/>
      <c r="K975" s="8" t="n"/>
      <c r="L975" s="10" t="n"/>
      <c r="M975" s="8" t="n"/>
      <c r="N975" s="11">
        <f>IF(OR(J975="",H975="",I975=""),"",J975/((I975-H975)*1440))</f>
        <v/>
      </c>
      <c r="O975" s="7" t="n"/>
      <c r="P975" s="7" t="n"/>
      <c r="Q975" s="7" t="n"/>
      <c r="R975" s="12" t="n"/>
      <c r="S975" s="13">
        <f>IF(OR(R975="",J975=""),"",R975/J975-1)</f>
        <v/>
      </c>
      <c r="T975" s="14">
        <f>IF(OR(L975="",R975="",J975=""),"",SQRT(4+(L975^2-4)*(R975/J975)^2))</f>
        <v/>
      </c>
      <c r="U975" s="7" t="n"/>
      <c r="V975" s="7" t="n"/>
    </row>
    <row r="976">
      <c r="A976" s="7" t="inlineStr">
        <is>
          <t>C-11/2-5-i3</t>
        </is>
      </c>
      <c r="B976" s="7" t="inlineStr">
        <is>
          <t>1 1/2</t>
        </is>
      </c>
      <c r="C976" s="7" t="inlineStr">
        <is>
          <t>C</t>
        </is>
      </c>
      <c r="D976" s="7" t="inlineStr">
        <is>
          <t>C</t>
        </is>
      </c>
      <c r="E976" s="7" t="n">
        <v>5</v>
      </c>
      <c r="F976" s="7" t="n">
        <v>3</v>
      </c>
      <c r="G976" s="8" t="n"/>
      <c r="H976" s="27" t="n"/>
      <c r="I976" s="27" t="n"/>
      <c r="J976" s="8" t="n"/>
      <c r="K976" s="8" t="n"/>
      <c r="L976" s="10" t="n"/>
      <c r="M976" s="8" t="n"/>
      <c r="N976" s="11">
        <f>IF(OR(J976="",H976="",I976=""),"",J976/((I976-H976)*1440))</f>
        <v/>
      </c>
      <c r="O976" s="7" t="n"/>
      <c r="P976" s="7" t="n"/>
      <c r="Q976" s="7" t="n"/>
      <c r="R976" s="12" t="n"/>
      <c r="S976" s="13">
        <f>IF(OR(R976="",J976=""),"",R976/J976-1)</f>
        <v/>
      </c>
      <c r="T976" s="14">
        <f>IF(OR(L976="",R976="",J976=""),"",SQRT(4+(L976^2-4)*(R976/J976)^2))</f>
        <v/>
      </c>
      <c r="U976" s="7" t="n"/>
      <c r="V976" s="7" t="n"/>
    </row>
    <row r="977">
      <c r="A977" s="7" t="inlineStr">
        <is>
          <t>C-11/2-10-i1</t>
        </is>
      </c>
      <c r="B977" s="7" t="inlineStr">
        <is>
          <t>1 1/2</t>
        </is>
      </c>
      <c r="C977" s="7" t="inlineStr">
        <is>
          <t>C</t>
        </is>
      </c>
      <c r="D977" s="7" t="inlineStr">
        <is>
          <t>C</t>
        </is>
      </c>
      <c r="E977" s="7" t="n">
        <v>10</v>
      </c>
      <c r="F977" s="7" t="n">
        <v>1</v>
      </c>
      <c r="G977" s="8" t="n"/>
      <c r="H977" s="27" t="n"/>
      <c r="I977" s="27" t="n"/>
      <c r="J977" s="8" t="n"/>
      <c r="K977" s="8" t="n"/>
      <c r="L977" s="10" t="n"/>
      <c r="M977" s="8" t="n"/>
      <c r="N977" s="11">
        <f>IF(OR(J977="",H977="",I977=""),"",J977/((I977-H977)*1440))</f>
        <v/>
      </c>
      <c r="O977" s="7" t="n"/>
      <c r="P977" s="7" t="n"/>
      <c r="Q977" s="7" t="n"/>
      <c r="R977" s="12" t="n"/>
      <c r="S977" s="13">
        <f>IF(OR(R977="",J977=""),"",R977/J977-1)</f>
        <v/>
      </c>
      <c r="T977" s="14">
        <f>IF(OR(L977="",R977="",J977=""),"",SQRT(4+(L977^2-4)*(R977/J977)^2))</f>
        <v/>
      </c>
      <c r="U977" s="7" t="n"/>
      <c r="V977" s="7" t="n"/>
    </row>
    <row r="978">
      <c r="A978" s="7" t="inlineStr">
        <is>
          <t>C-11/2-10-i2</t>
        </is>
      </c>
      <c r="B978" s="7" t="inlineStr">
        <is>
          <t>1 1/2</t>
        </is>
      </c>
      <c r="C978" s="7" t="inlineStr">
        <is>
          <t>C</t>
        </is>
      </c>
      <c r="D978" s="7" t="inlineStr">
        <is>
          <t>C</t>
        </is>
      </c>
      <c r="E978" s="7" t="n">
        <v>10</v>
      </c>
      <c r="F978" s="7" t="n">
        <v>2</v>
      </c>
      <c r="G978" s="8" t="n"/>
      <c r="H978" s="27" t="n"/>
      <c r="I978" s="27" t="n"/>
      <c r="J978" s="8" t="n"/>
      <c r="K978" s="8" t="n"/>
      <c r="L978" s="10" t="n"/>
      <c r="M978" s="8" t="n"/>
      <c r="N978" s="11">
        <f>IF(OR(J978="",H978="",I978=""),"",J978/((I978-H978)*1440))</f>
        <v/>
      </c>
      <c r="O978" s="7" t="n"/>
      <c r="P978" s="7" t="n"/>
      <c r="Q978" s="7" t="n"/>
      <c r="R978" s="12" t="n"/>
      <c r="S978" s="13">
        <f>IF(OR(R978="",J978=""),"",R978/J978-1)</f>
        <v/>
      </c>
      <c r="T978" s="14">
        <f>IF(OR(L978="",R978="",J978=""),"",SQRT(4+(L978^2-4)*(R978/J978)^2))</f>
        <v/>
      </c>
      <c r="U978" s="7" t="n"/>
      <c r="V978" s="7" t="n"/>
    </row>
    <row r="979">
      <c r="A979" s="7" t="inlineStr">
        <is>
          <t>C-11/2-10-i3</t>
        </is>
      </c>
      <c r="B979" s="7" t="inlineStr">
        <is>
          <t>1 1/2</t>
        </is>
      </c>
      <c r="C979" s="7" t="inlineStr">
        <is>
          <t>C</t>
        </is>
      </c>
      <c r="D979" s="7" t="inlineStr">
        <is>
          <t>C</t>
        </is>
      </c>
      <c r="E979" s="7" t="n">
        <v>10</v>
      </c>
      <c r="F979" s="7" t="n">
        <v>3</v>
      </c>
      <c r="G979" s="8" t="n"/>
      <c r="H979" s="27" t="n"/>
      <c r="I979" s="27" t="n"/>
      <c r="J979" s="8" t="n"/>
      <c r="K979" s="8" t="n"/>
      <c r="L979" s="10" t="n"/>
      <c r="M979" s="8" t="n"/>
      <c r="N979" s="11">
        <f>IF(OR(J979="",H979="",I979=""),"",J979/((I979-H979)*1440))</f>
        <v/>
      </c>
      <c r="O979" s="7" t="n"/>
      <c r="P979" s="7" t="n"/>
      <c r="Q979" s="7" t="n"/>
      <c r="R979" s="12" t="n"/>
      <c r="S979" s="13">
        <f>IF(OR(R979="",J979=""),"",R979/J979-1)</f>
        <v/>
      </c>
      <c r="T979" s="14">
        <f>IF(OR(L979="",R979="",J979=""),"",SQRT(4+(L979^2-4)*(R979/J979)^2))</f>
        <v/>
      </c>
      <c r="U979" s="7" t="n"/>
      <c r="V979" s="7" t="n"/>
    </row>
    <row r="980">
      <c r="A980" s="7" t="inlineStr">
        <is>
          <t>c-11/2-0.5-i1</t>
        </is>
      </c>
      <c r="B980" s="7" t="inlineStr">
        <is>
          <t>1 1/2</t>
        </is>
      </c>
      <c r="C980" s="7" t="inlineStr">
        <is>
          <t>c</t>
        </is>
      </c>
      <c r="D980" s="7" t="inlineStr">
        <is>
          <t>c</t>
        </is>
      </c>
      <c r="E980" s="7" t="n">
        <v>0.5</v>
      </c>
      <c r="F980" s="7" t="n">
        <v>1</v>
      </c>
      <c r="G980" s="8" t="n"/>
      <c r="H980" s="27" t="n"/>
      <c r="I980" s="27" t="n"/>
      <c r="J980" s="8" t="n"/>
      <c r="K980" s="8" t="n"/>
      <c r="L980" s="10" t="n"/>
      <c r="M980" s="8" t="n"/>
      <c r="N980" s="11">
        <f>IF(OR(J980="",H980="",I980=""),"",J980/((I980-H980)*1440))</f>
        <v/>
      </c>
      <c r="O980" s="7" t="n"/>
      <c r="P980" s="7" t="n"/>
      <c r="Q980" s="7" t="n"/>
      <c r="R980" s="12" t="n"/>
      <c r="S980" s="13">
        <f>IF(OR(R980="",J980=""),"",R980/J980-1)</f>
        <v/>
      </c>
      <c r="T980" s="14">
        <f>IF(OR(L980="",R980="",J980=""),"",SQRT(4+(L980^2-4)*(R980/J980)^2))</f>
        <v/>
      </c>
      <c r="U980" s="7" t="n"/>
      <c r="V980" s="7" t="n"/>
    </row>
    <row r="981">
      <c r="A981" s="7" t="inlineStr">
        <is>
          <t>c-11/2-0.5-i2</t>
        </is>
      </c>
      <c r="B981" s="7" t="inlineStr">
        <is>
          <t>1 1/2</t>
        </is>
      </c>
      <c r="C981" s="7" t="inlineStr">
        <is>
          <t>c</t>
        </is>
      </c>
      <c r="D981" s="7" t="inlineStr">
        <is>
          <t>c</t>
        </is>
      </c>
      <c r="E981" s="7" t="n">
        <v>0.5</v>
      </c>
      <c r="F981" s="7" t="n">
        <v>2</v>
      </c>
      <c r="G981" s="8" t="n"/>
      <c r="H981" s="27" t="n"/>
      <c r="I981" s="27" t="n"/>
      <c r="J981" s="8" t="n"/>
      <c r="K981" s="8" t="n"/>
      <c r="L981" s="10" t="n"/>
      <c r="M981" s="8" t="n"/>
      <c r="N981" s="11">
        <f>IF(OR(J981="",H981="",I981=""),"",J981/((I981-H981)*1440))</f>
        <v/>
      </c>
      <c r="O981" s="7" t="n"/>
      <c r="P981" s="7" t="n"/>
      <c r="Q981" s="7" t="n"/>
      <c r="R981" s="12" t="n"/>
      <c r="S981" s="13">
        <f>IF(OR(R981="",J981=""),"",R981/J981-1)</f>
        <v/>
      </c>
      <c r="T981" s="14">
        <f>IF(OR(L981="",R981="",J981=""),"",SQRT(4+(L981^2-4)*(R981/J981)^2))</f>
        <v/>
      </c>
      <c r="U981" s="7" t="n"/>
      <c r="V981" s="7" t="n"/>
    </row>
    <row r="982">
      <c r="A982" s="7" t="inlineStr">
        <is>
          <t>c-11/2-0.5-i3</t>
        </is>
      </c>
      <c r="B982" s="7" t="inlineStr">
        <is>
          <t>1 1/2</t>
        </is>
      </c>
      <c r="C982" s="7" t="inlineStr">
        <is>
          <t>c</t>
        </is>
      </c>
      <c r="D982" s="7" t="inlineStr">
        <is>
          <t>c</t>
        </is>
      </c>
      <c r="E982" s="7" t="n">
        <v>0.5</v>
      </c>
      <c r="F982" s="7" t="n">
        <v>3</v>
      </c>
      <c r="G982" s="8" t="n"/>
      <c r="H982" s="27" t="n"/>
      <c r="I982" s="27" t="n"/>
      <c r="J982" s="8" t="n"/>
      <c r="K982" s="8" t="n"/>
      <c r="L982" s="10" t="n"/>
      <c r="M982" s="8" t="n"/>
      <c r="N982" s="11">
        <f>IF(OR(J982="",H982="",I982=""),"",J982/((I982-H982)*1440))</f>
        <v/>
      </c>
      <c r="O982" s="7" t="n"/>
      <c r="P982" s="7" t="n"/>
      <c r="Q982" s="7" t="n"/>
      <c r="R982" s="12" t="n"/>
      <c r="S982" s="13">
        <f>IF(OR(R982="",J982=""),"",R982/J982-1)</f>
        <v/>
      </c>
      <c r="T982" s="14">
        <f>IF(OR(L982="",R982="",J982=""),"",SQRT(4+(L982^2-4)*(R982/J982)^2))</f>
        <v/>
      </c>
      <c r="U982" s="7" t="n"/>
      <c r="V982" s="7" t="n"/>
    </row>
    <row r="983">
      <c r="A983" s="7" t="inlineStr">
        <is>
          <t>c-11/2-1-i1</t>
        </is>
      </c>
      <c r="B983" s="7" t="inlineStr">
        <is>
          <t>1 1/2</t>
        </is>
      </c>
      <c r="C983" s="7" t="inlineStr">
        <is>
          <t>c</t>
        </is>
      </c>
      <c r="D983" s="7" t="inlineStr">
        <is>
          <t>c</t>
        </is>
      </c>
      <c r="E983" s="7" t="n">
        <v>1</v>
      </c>
      <c r="F983" s="7" t="n">
        <v>1</v>
      </c>
      <c r="G983" s="8" t="n"/>
      <c r="H983" s="27" t="n"/>
      <c r="I983" s="27" t="n"/>
      <c r="J983" s="8" t="n"/>
      <c r="K983" s="8" t="n"/>
      <c r="L983" s="10" t="n"/>
      <c r="M983" s="8" t="n"/>
      <c r="N983" s="11">
        <f>IF(OR(J983="",H983="",I983=""),"",J983/((I983-H983)*1440))</f>
        <v/>
      </c>
      <c r="O983" s="7" t="n"/>
      <c r="P983" s="7" t="n"/>
      <c r="Q983" s="7" t="n"/>
      <c r="R983" s="12" t="n"/>
      <c r="S983" s="13">
        <f>IF(OR(R983="",J983=""),"",R983/J983-1)</f>
        <v/>
      </c>
      <c r="T983" s="14">
        <f>IF(OR(L983="",R983="",J983=""),"",SQRT(4+(L983^2-4)*(R983/J983)^2))</f>
        <v/>
      </c>
      <c r="U983" s="7" t="n"/>
      <c r="V983" s="7" t="n"/>
    </row>
    <row r="984">
      <c r="A984" s="7" t="inlineStr">
        <is>
          <t>c-11/2-1-i2</t>
        </is>
      </c>
      <c r="B984" s="7" t="inlineStr">
        <is>
          <t>1 1/2</t>
        </is>
      </c>
      <c r="C984" s="7" t="inlineStr">
        <is>
          <t>c</t>
        </is>
      </c>
      <c r="D984" s="7" t="inlineStr">
        <is>
          <t>c</t>
        </is>
      </c>
      <c r="E984" s="7" t="n">
        <v>1</v>
      </c>
      <c r="F984" s="7" t="n">
        <v>2</v>
      </c>
      <c r="G984" s="8" t="n"/>
      <c r="H984" s="27" t="n"/>
      <c r="I984" s="27" t="n"/>
      <c r="J984" s="8" t="n"/>
      <c r="K984" s="8" t="n"/>
      <c r="L984" s="10" t="n"/>
      <c r="M984" s="8" t="n"/>
      <c r="N984" s="11">
        <f>IF(OR(J984="",H984="",I984=""),"",J984/((I984-H984)*1440))</f>
        <v/>
      </c>
      <c r="O984" s="7" t="n"/>
      <c r="P984" s="7" t="n"/>
      <c r="Q984" s="7" t="n"/>
      <c r="R984" s="12" t="n"/>
      <c r="S984" s="13">
        <f>IF(OR(R984="",J984=""),"",R984/J984-1)</f>
        <v/>
      </c>
      <c r="T984" s="14">
        <f>IF(OR(L984="",R984="",J984=""),"",SQRT(4+(L984^2-4)*(R984/J984)^2))</f>
        <v/>
      </c>
      <c r="U984" s="7" t="n"/>
      <c r="V984" s="7" t="n"/>
    </row>
    <row r="985">
      <c r="A985" s="7" t="inlineStr">
        <is>
          <t>c-11/2-1-i3</t>
        </is>
      </c>
      <c r="B985" s="7" t="inlineStr">
        <is>
          <t>1 1/2</t>
        </is>
      </c>
      <c r="C985" s="7" t="inlineStr">
        <is>
          <t>c</t>
        </is>
      </c>
      <c r="D985" s="7" t="inlineStr">
        <is>
          <t>c</t>
        </is>
      </c>
      <c r="E985" s="7" t="n">
        <v>1</v>
      </c>
      <c r="F985" s="7" t="n">
        <v>3</v>
      </c>
      <c r="G985" s="8" t="n"/>
      <c r="H985" s="27" t="n"/>
      <c r="I985" s="27" t="n"/>
      <c r="J985" s="8" t="n"/>
      <c r="K985" s="8" t="n"/>
      <c r="L985" s="10" t="n"/>
      <c r="M985" s="8" t="n"/>
      <c r="N985" s="11">
        <f>IF(OR(J985="",H985="",I985=""),"",J985/((I985-H985)*1440))</f>
        <v/>
      </c>
      <c r="O985" s="7" t="n"/>
      <c r="P985" s="7" t="n"/>
      <c r="Q985" s="7" t="n"/>
      <c r="R985" s="12" t="n"/>
      <c r="S985" s="13">
        <f>IF(OR(R985="",J985=""),"",R985/J985-1)</f>
        <v/>
      </c>
      <c r="T985" s="14">
        <f>IF(OR(L985="",R985="",J985=""),"",SQRT(4+(L985^2-4)*(R985/J985)^2))</f>
        <v/>
      </c>
      <c r="U985" s="7" t="n"/>
      <c r="V985" s="7" t="n"/>
    </row>
    <row r="986">
      <c r="A986" s="7" t="inlineStr">
        <is>
          <t>c-11/2-3-i1</t>
        </is>
      </c>
      <c r="B986" s="7" t="inlineStr">
        <is>
          <t>1 1/2</t>
        </is>
      </c>
      <c r="C986" s="7" t="inlineStr">
        <is>
          <t>c</t>
        </is>
      </c>
      <c r="D986" s="7" t="inlineStr">
        <is>
          <t>c</t>
        </is>
      </c>
      <c r="E986" s="7" t="n">
        <v>3</v>
      </c>
      <c r="F986" s="7" t="n">
        <v>1</v>
      </c>
      <c r="G986" s="8" t="n"/>
      <c r="H986" s="27" t="n"/>
      <c r="I986" s="27" t="n"/>
      <c r="J986" s="8" t="n"/>
      <c r="K986" s="8" t="n"/>
      <c r="L986" s="10" t="n"/>
      <c r="M986" s="8" t="n"/>
      <c r="N986" s="11">
        <f>IF(OR(J986="",H986="",I986=""),"",J986/((I986-H986)*1440))</f>
        <v/>
      </c>
      <c r="O986" s="7" t="n"/>
      <c r="P986" s="7" t="n"/>
      <c r="Q986" s="7" t="n"/>
      <c r="R986" s="12" t="n"/>
      <c r="S986" s="13">
        <f>IF(OR(R986="",J986=""),"",R986/J986-1)</f>
        <v/>
      </c>
      <c r="T986" s="14">
        <f>IF(OR(L986="",R986="",J986=""),"",SQRT(4+(L986^2-4)*(R986/J986)^2))</f>
        <v/>
      </c>
      <c r="U986" s="7" t="n"/>
      <c r="V986" s="7" t="n"/>
    </row>
    <row r="987">
      <c r="A987" s="7" t="inlineStr">
        <is>
          <t>c-11/2-3-i2</t>
        </is>
      </c>
      <c r="B987" s="7" t="inlineStr">
        <is>
          <t>1 1/2</t>
        </is>
      </c>
      <c r="C987" s="7" t="inlineStr">
        <is>
          <t>c</t>
        </is>
      </c>
      <c r="D987" s="7" t="inlineStr">
        <is>
          <t>c</t>
        </is>
      </c>
      <c r="E987" s="7" t="n">
        <v>3</v>
      </c>
      <c r="F987" s="7" t="n">
        <v>2</v>
      </c>
      <c r="G987" s="8" t="n"/>
      <c r="H987" s="27" t="n"/>
      <c r="I987" s="27" t="n"/>
      <c r="J987" s="8" t="n"/>
      <c r="K987" s="8" t="n"/>
      <c r="L987" s="10" t="n"/>
      <c r="M987" s="8" t="n"/>
      <c r="N987" s="11">
        <f>IF(OR(J987="",H987="",I987=""),"",J987/((I987-H987)*1440))</f>
        <v/>
      </c>
      <c r="O987" s="7" t="n"/>
      <c r="P987" s="7" t="n"/>
      <c r="Q987" s="7" t="n"/>
      <c r="R987" s="12" t="n"/>
      <c r="S987" s="13">
        <f>IF(OR(R987="",J987=""),"",R987/J987-1)</f>
        <v/>
      </c>
      <c r="T987" s="14">
        <f>IF(OR(L987="",R987="",J987=""),"",SQRT(4+(L987^2-4)*(R987/J987)^2))</f>
        <v/>
      </c>
      <c r="U987" s="7" t="n"/>
      <c r="V987" s="7" t="n"/>
    </row>
    <row r="988">
      <c r="A988" s="7" t="inlineStr">
        <is>
          <t>c-11/2-3-i3</t>
        </is>
      </c>
      <c r="B988" s="7" t="inlineStr">
        <is>
          <t>1 1/2</t>
        </is>
      </c>
      <c r="C988" s="7" t="inlineStr">
        <is>
          <t>c</t>
        </is>
      </c>
      <c r="D988" s="7" t="inlineStr">
        <is>
          <t>c</t>
        </is>
      </c>
      <c r="E988" s="7" t="n">
        <v>3</v>
      </c>
      <c r="F988" s="7" t="n">
        <v>3</v>
      </c>
      <c r="G988" s="8" t="n"/>
      <c r="H988" s="27" t="n"/>
      <c r="I988" s="27" t="n"/>
      <c r="J988" s="8" t="n"/>
      <c r="K988" s="8" t="n"/>
      <c r="L988" s="10" t="n"/>
      <c r="M988" s="8" t="n"/>
      <c r="N988" s="11">
        <f>IF(OR(J988="",H988="",I988=""),"",J988/((I988-H988)*1440))</f>
        <v/>
      </c>
      <c r="O988" s="7" t="n"/>
      <c r="P988" s="7" t="n"/>
      <c r="Q988" s="7" t="n"/>
      <c r="R988" s="12" t="n"/>
      <c r="S988" s="13">
        <f>IF(OR(R988="",J988=""),"",R988/J988-1)</f>
        <v/>
      </c>
      <c r="T988" s="14">
        <f>IF(OR(L988="",R988="",J988=""),"",SQRT(4+(L988^2-4)*(R988/J988)^2))</f>
        <v/>
      </c>
      <c r="U988" s="7" t="n"/>
      <c r="V988" s="7" t="n"/>
    </row>
    <row r="989">
      <c r="A989" s="7" t="inlineStr">
        <is>
          <t>c-11/2-5-i1</t>
        </is>
      </c>
      <c r="B989" s="7" t="inlineStr">
        <is>
          <t>1 1/2</t>
        </is>
      </c>
      <c r="C989" s="7" t="inlineStr">
        <is>
          <t>c</t>
        </is>
      </c>
      <c r="D989" s="7" t="inlineStr">
        <is>
          <t>c</t>
        </is>
      </c>
      <c r="E989" s="7" t="n">
        <v>5</v>
      </c>
      <c r="F989" s="7" t="n">
        <v>1</v>
      </c>
      <c r="G989" s="8" t="n"/>
      <c r="H989" s="27" t="n"/>
      <c r="I989" s="27" t="n"/>
      <c r="J989" s="8" t="n"/>
      <c r="K989" s="8" t="n"/>
      <c r="L989" s="10" t="n"/>
      <c r="M989" s="8" t="n"/>
      <c r="N989" s="11">
        <f>IF(OR(J989="",H989="",I989=""),"",J989/((I989-H989)*1440))</f>
        <v/>
      </c>
      <c r="O989" s="7" t="n"/>
      <c r="P989" s="7" t="n"/>
      <c r="Q989" s="7" t="n"/>
      <c r="R989" s="12" t="n"/>
      <c r="S989" s="13">
        <f>IF(OR(R989="",J989=""),"",R989/J989-1)</f>
        <v/>
      </c>
      <c r="T989" s="14">
        <f>IF(OR(L989="",R989="",J989=""),"",SQRT(4+(L989^2-4)*(R989/J989)^2))</f>
        <v/>
      </c>
      <c r="U989" s="7" t="n"/>
      <c r="V989" s="7" t="n"/>
    </row>
    <row r="990">
      <c r="A990" s="7" t="inlineStr">
        <is>
          <t>c-11/2-5-i2</t>
        </is>
      </c>
      <c r="B990" s="7" t="inlineStr">
        <is>
          <t>1 1/2</t>
        </is>
      </c>
      <c r="C990" s="7" t="inlineStr">
        <is>
          <t>c</t>
        </is>
      </c>
      <c r="D990" s="7" t="inlineStr">
        <is>
          <t>c</t>
        </is>
      </c>
      <c r="E990" s="7" t="n">
        <v>5</v>
      </c>
      <c r="F990" s="7" t="n">
        <v>2</v>
      </c>
      <c r="G990" s="8" t="n"/>
      <c r="H990" s="27" t="n"/>
      <c r="I990" s="27" t="n"/>
      <c r="J990" s="8" t="n"/>
      <c r="K990" s="8" t="n"/>
      <c r="L990" s="10" t="n"/>
      <c r="M990" s="8" t="n"/>
      <c r="N990" s="11">
        <f>IF(OR(J990="",H990="",I990=""),"",J990/((I990-H990)*1440))</f>
        <v/>
      </c>
      <c r="O990" s="7" t="n"/>
      <c r="P990" s="7" t="n"/>
      <c r="Q990" s="7" t="n"/>
      <c r="R990" s="12" t="n"/>
      <c r="S990" s="13">
        <f>IF(OR(R990="",J990=""),"",R990/J990-1)</f>
        <v/>
      </c>
      <c r="T990" s="14">
        <f>IF(OR(L990="",R990="",J990=""),"",SQRT(4+(L990^2-4)*(R990/J990)^2))</f>
        <v/>
      </c>
      <c r="U990" s="7" t="n"/>
      <c r="V990" s="7" t="n"/>
    </row>
    <row r="991">
      <c r="A991" s="7" t="inlineStr">
        <is>
          <t>c-11/2-5-i3</t>
        </is>
      </c>
      <c r="B991" s="7" t="inlineStr">
        <is>
          <t>1 1/2</t>
        </is>
      </c>
      <c r="C991" s="7" t="inlineStr">
        <is>
          <t>c</t>
        </is>
      </c>
      <c r="D991" s="7" t="inlineStr">
        <is>
          <t>c</t>
        </is>
      </c>
      <c r="E991" s="7" t="n">
        <v>5</v>
      </c>
      <c r="F991" s="7" t="n">
        <v>3</v>
      </c>
      <c r="G991" s="8" t="n"/>
      <c r="H991" s="27" t="n"/>
      <c r="I991" s="27" t="n"/>
      <c r="J991" s="8" t="n"/>
      <c r="K991" s="8" t="n"/>
      <c r="L991" s="10" t="n"/>
      <c r="M991" s="8" t="n"/>
      <c r="N991" s="11">
        <f>IF(OR(J991="",H991="",I991=""),"",J991/((I991-H991)*1440))</f>
        <v/>
      </c>
      <c r="O991" s="7" t="n"/>
      <c r="P991" s="7" t="n"/>
      <c r="Q991" s="7" t="n"/>
      <c r="R991" s="12" t="n"/>
      <c r="S991" s="13">
        <f>IF(OR(R991="",J991=""),"",R991/J991-1)</f>
        <v/>
      </c>
      <c r="T991" s="14">
        <f>IF(OR(L991="",R991="",J991=""),"",SQRT(4+(L991^2-4)*(R991/J991)^2))</f>
        <v/>
      </c>
      <c r="U991" s="7" t="n"/>
      <c r="V991" s="7" t="n"/>
    </row>
    <row r="992">
      <c r="A992" s="7" t="inlineStr">
        <is>
          <t>c-11/2-10-i1</t>
        </is>
      </c>
      <c r="B992" s="7" t="inlineStr">
        <is>
          <t>1 1/2</t>
        </is>
      </c>
      <c r="C992" s="7" t="inlineStr">
        <is>
          <t>c</t>
        </is>
      </c>
      <c r="D992" s="7" t="inlineStr">
        <is>
          <t>c</t>
        </is>
      </c>
      <c r="E992" s="7" t="n">
        <v>10</v>
      </c>
      <c r="F992" s="7" t="n">
        <v>1</v>
      </c>
      <c r="G992" s="8" t="n"/>
      <c r="H992" s="27" t="n"/>
      <c r="I992" s="27" t="n"/>
      <c r="J992" s="8" t="n"/>
      <c r="K992" s="8" t="n"/>
      <c r="L992" s="10" t="n"/>
      <c r="M992" s="8" t="n"/>
      <c r="N992" s="11">
        <f>IF(OR(J992="",H992="",I992=""),"",J992/((I992-H992)*1440))</f>
        <v/>
      </c>
      <c r="O992" s="7" t="n"/>
      <c r="P992" s="7" t="n"/>
      <c r="Q992" s="7" t="n"/>
      <c r="R992" s="12" t="n"/>
      <c r="S992" s="13">
        <f>IF(OR(R992="",J992=""),"",R992/J992-1)</f>
        <v/>
      </c>
      <c r="T992" s="14">
        <f>IF(OR(L992="",R992="",J992=""),"",SQRT(4+(L992^2-4)*(R992/J992)^2))</f>
        <v/>
      </c>
      <c r="U992" s="7" t="n"/>
      <c r="V992" s="7" t="n"/>
    </row>
    <row r="993">
      <c r="A993" s="7" t="inlineStr">
        <is>
          <t>c-11/2-10-i2</t>
        </is>
      </c>
      <c r="B993" s="7" t="inlineStr">
        <is>
          <t>1 1/2</t>
        </is>
      </c>
      <c r="C993" s="7" t="inlineStr">
        <is>
          <t>c</t>
        </is>
      </c>
      <c r="D993" s="7" t="inlineStr">
        <is>
          <t>c</t>
        </is>
      </c>
      <c r="E993" s="7" t="n">
        <v>10</v>
      </c>
      <c r="F993" s="7" t="n">
        <v>2</v>
      </c>
      <c r="G993" s="8" t="n"/>
      <c r="H993" s="27" t="n"/>
      <c r="I993" s="27" t="n"/>
      <c r="J993" s="8" t="n"/>
      <c r="K993" s="8" t="n"/>
      <c r="L993" s="10" t="n"/>
      <c r="M993" s="8" t="n"/>
      <c r="N993" s="11">
        <f>IF(OR(J993="",H993="",I993=""),"",J993/((I993-H993)*1440))</f>
        <v/>
      </c>
      <c r="O993" s="7" t="n"/>
      <c r="P993" s="7" t="n"/>
      <c r="Q993" s="7" t="n"/>
      <c r="R993" s="12" t="n"/>
      <c r="S993" s="13">
        <f>IF(OR(R993="",J993=""),"",R993/J993-1)</f>
        <v/>
      </c>
      <c r="T993" s="14">
        <f>IF(OR(L993="",R993="",J993=""),"",SQRT(4+(L993^2-4)*(R993/J993)^2))</f>
        <v/>
      </c>
      <c r="U993" s="7" t="n"/>
      <c r="V993" s="7" t="n"/>
    </row>
    <row r="994">
      <c r="A994" s="7" t="inlineStr">
        <is>
          <t>c-11/2-10-i3</t>
        </is>
      </c>
      <c r="B994" s="7" t="inlineStr">
        <is>
          <t>1 1/2</t>
        </is>
      </c>
      <c r="C994" s="7" t="inlineStr">
        <is>
          <t>c</t>
        </is>
      </c>
      <c r="D994" s="7" t="inlineStr">
        <is>
          <t>c</t>
        </is>
      </c>
      <c r="E994" s="7" t="n">
        <v>10</v>
      </c>
      <c r="F994" s="7" t="n">
        <v>3</v>
      </c>
      <c r="G994" s="8" t="n"/>
      <c r="H994" s="27" t="n"/>
      <c r="I994" s="27" t="n"/>
      <c r="J994" s="8" t="n"/>
      <c r="K994" s="8" t="n"/>
      <c r="L994" s="10" t="n"/>
      <c r="M994" s="8" t="n"/>
      <c r="N994" s="11">
        <f>IF(OR(J994="",H994="",I994=""),"",J994/((I994-H994)*1440))</f>
        <v/>
      </c>
      <c r="O994" s="7" t="n"/>
      <c r="P994" s="7" t="n"/>
      <c r="Q994" s="7" t="n"/>
      <c r="R994" s="12" t="n"/>
      <c r="S994" s="13">
        <f>IF(OR(R994="",J994=""),"",R994/J994-1)</f>
        <v/>
      </c>
      <c r="T994" s="14">
        <f>IF(OR(L994="",R994="",J994=""),"",SQRT(4+(L994^2-4)*(R994/J994)^2))</f>
        <v/>
      </c>
      <c r="U994" s="7" t="n"/>
      <c r="V994" s="7" t="n"/>
    </row>
  </sheetData>
  <autoFilter ref="A1:V9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5" t="inlineStr">
        <is>
          <t>CURRENT lFactorsM (compiled, measure.c @ efe997a)</t>
        </is>
      </c>
      <c r="F1" s="16" t="inlineStr">
        <is>
          <t>Source: DuneFW_L5_2 Core/Src/measure.c lines 328-337</t>
        </is>
      </c>
    </row>
    <row r="2">
      <c r="B2" s="17" t="inlineStr">
        <is>
          <t>K</t>
        </is>
      </c>
      <c r="C2" s="17" t="inlineStr">
        <is>
          <t>L</t>
        </is>
      </c>
      <c r="D2" s="17" t="inlineStr">
        <is>
          <t>M</t>
        </is>
      </c>
      <c r="E2" s="17" t="inlineStr">
        <is>
          <t>P</t>
        </is>
      </c>
      <c r="F2" s="17" t="inlineStr">
        <is>
          <t>X</t>
        </is>
      </c>
      <c r="G2" s="17" t="inlineStr">
        <is>
          <t>p</t>
        </is>
      </c>
      <c r="H2" s="17" t="inlineStr">
        <is>
          <t>x</t>
        </is>
      </c>
      <c r="I2" s="17" t="inlineStr">
        <is>
          <t>B</t>
        </is>
      </c>
      <c r="J2" s="17" t="inlineStr">
        <is>
          <t>b</t>
        </is>
      </c>
      <c r="K2" s="17" t="inlineStr">
        <is>
          <t>C</t>
        </is>
      </c>
      <c r="L2" s="17" t="inlineStr">
        <is>
          <t>c</t>
        </is>
      </c>
    </row>
    <row r="3">
      <c r="A3" s="18" t="inlineStr">
        <is>
          <t>3/8</t>
        </is>
      </c>
      <c r="B3" s="19" t="n">
        <v>2.13</v>
      </c>
      <c r="C3" s="19" t="n">
        <v>2.255</v>
      </c>
      <c r="D3" s="19" t="n">
        <v>2.255</v>
      </c>
      <c r="E3" s="19" t="n">
        <v>2.13</v>
      </c>
      <c r="F3" s="19" t="n">
        <v>2.22</v>
      </c>
      <c r="G3" s="19" t="n">
        <v>2.13</v>
      </c>
      <c r="H3" s="19" t="n">
        <v>2.22</v>
      </c>
      <c r="I3" s="19" t="n">
        <v>2.22</v>
      </c>
      <c r="J3" s="19" t="n">
        <v>2.22</v>
      </c>
      <c r="K3" s="19" t="n">
        <v>2.22</v>
      </c>
      <c r="L3" s="19" t="n">
        <v>2.22</v>
      </c>
    </row>
    <row r="4">
      <c r="A4" s="18" t="inlineStr">
        <is>
          <t>1/2</t>
        </is>
      </c>
      <c r="B4" s="19" t="n">
        <v>2.13</v>
      </c>
      <c r="C4" s="19" t="n">
        <v>2.255</v>
      </c>
      <c r="D4" s="19" t="n">
        <v>2.255</v>
      </c>
      <c r="E4" s="19" t="n">
        <v>2.13</v>
      </c>
      <c r="F4" s="19" t="n">
        <v>2.22</v>
      </c>
      <c r="G4" s="19" t="n">
        <v>2.13</v>
      </c>
      <c r="H4" s="19" t="n">
        <v>2.22</v>
      </c>
      <c r="I4" s="19" t="n">
        <v>2.22</v>
      </c>
      <c r="J4" s="19" t="n">
        <v>2.22</v>
      </c>
      <c r="K4" s="19" t="n">
        <v>2.22</v>
      </c>
      <c r="L4" s="19" t="n">
        <v>2.22</v>
      </c>
    </row>
    <row r="5">
      <c r="A5" s="18" t="inlineStr">
        <is>
          <t>3/4</t>
        </is>
      </c>
      <c r="B5" s="19" t="n">
        <v>2.13</v>
      </c>
      <c r="C5" s="19" t="n">
        <v>2.255</v>
      </c>
      <c r="D5" s="19" t="n">
        <v>2.255</v>
      </c>
      <c r="E5" s="19" t="n">
        <v>2.211</v>
      </c>
      <c r="F5" s="19" t="n">
        <v>2.27</v>
      </c>
      <c r="G5" s="19" t="n">
        <v>2.23</v>
      </c>
      <c r="H5" s="19" t="n">
        <v>2.25</v>
      </c>
      <c r="I5" s="19" t="n">
        <v>2.25</v>
      </c>
      <c r="J5" s="19" t="n">
        <v>2.25</v>
      </c>
      <c r="K5" s="19" t="n">
        <v>2.3</v>
      </c>
      <c r="L5" s="19" t="n">
        <v>2.25</v>
      </c>
    </row>
    <row r="6">
      <c r="A6" s="18" t="inlineStr">
        <is>
          <t>1</t>
        </is>
      </c>
      <c r="B6" s="19" t="n">
        <v>2.13</v>
      </c>
      <c r="C6" s="19" t="n">
        <v>2.255</v>
      </c>
      <c r="D6" s="19" t="n">
        <v>2.255</v>
      </c>
      <c r="E6" s="19" t="n">
        <v>2.13</v>
      </c>
      <c r="F6" s="19" t="n">
        <v>2.265</v>
      </c>
      <c r="G6" s="19" t="n">
        <v>2.13</v>
      </c>
      <c r="H6" s="19" t="n">
        <v>2.265</v>
      </c>
      <c r="I6" s="19" t="n">
        <v>2.26</v>
      </c>
      <c r="J6" s="19" t="n">
        <v>2.26</v>
      </c>
      <c r="K6" s="19" t="n">
        <v>2.26</v>
      </c>
      <c r="L6" s="19" t="n">
        <v>2.26</v>
      </c>
    </row>
    <row r="7">
      <c r="A7" s="18" t="inlineStr">
        <is>
          <t>1 1/4</t>
        </is>
      </c>
      <c r="B7" s="19" t="n">
        <v>2.13</v>
      </c>
      <c r="C7" s="19" t="n">
        <v>2.13</v>
      </c>
      <c r="D7" s="19" t="n">
        <v>2.13</v>
      </c>
      <c r="E7" s="19" t="n">
        <v>2.13</v>
      </c>
      <c r="F7" s="19" t="n">
        <v>2.13</v>
      </c>
      <c r="G7" s="19" t="n">
        <v>2.13</v>
      </c>
      <c r="H7" s="19" t="n">
        <v>2.13</v>
      </c>
      <c r="I7" s="19" t="n">
        <v>2.13</v>
      </c>
      <c r="J7" s="19" t="n">
        <v>2.13</v>
      </c>
      <c r="K7" s="19" t="n">
        <v>2.13</v>
      </c>
      <c r="L7" s="19" t="n">
        <v>2.13</v>
      </c>
    </row>
    <row r="8">
      <c r="A8" s="18" t="inlineStr">
        <is>
          <t>1 1/2</t>
        </is>
      </c>
      <c r="B8" s="19" t="n">
        <v>2.13</v>
      </c>
      <c r="C8" s="19" t="n">
        <v>2.13</v>
      </c>
      <c r="D8" s="19" t="n">
        <v>2.13</v>
      </c>
      <c r="E8" s="19" t="n">
        <v>2.13</v>
      </c>
      <c r="F8" s="19" t="n">
        <v>2.13</v>
      </c>
      <c r="G8" s="19" t="n">
        <v>2.13</v>
      </c>
      <c r="H8" s="19" t="n">
        <v>2.13</v>
      </c>
      <c r="I8" s="19" t="n">
        <v>2.13</v>
      </c>
      <c r="J8" s="19" t="n">
        <v>2.13</v>
      </c>
      <c r="K8" s="19" t="n">
        <v>2.13</v>
      </c>
      <c r="L8" s="19" t="n">
        <v>2.13</v>
      </c>
    </row>
    <row r="10">
      <c r="A10" s="15" t="inlineStr">
        <is>
          <t>CURRENT pipeDiameters (in)</t>
        </is>
      </c>
      <c r="F10" s="16" t="inlineStr">
        <is>
          <t>Source: measure.c lines 317-326; 1.000 entries are placeholders</t>
        </is>
      </c>
    </row>
    <row r="11">
      <c r="B11" s="17" t="inlineStr">
        <is>
          <t>K</t>
        </is>
      </c>
      <c r="C11" s="17" t="inlineStr">
        <is>
          <t>L</t>
        </is>
      </c>
      <c r="D11" s="17" t="inlineStr">
        <is>
          <t>M</t>
        </is>
      </c>
      <c r="E11" s="17" t="inlineStr">
        <is>
          <t>P</t>
        </is>
      </c>
      <c r="F11" s="17" t="inlineStr">
        <is>
          <t>X</t>
        </is>
      </c>
      <c r="G11" s="17" t="inlineStr">
        <is>
          <t>p</t>
        </is>
      </c>
      <c r="H11" s="17" t="inlineStr">
        <is>
          <t>x</t>
        </is>
      </c>
      <c r="I11" s="17" t="inlineStr">
        <is>
          <t>B</t>
        </is>
      </c>
      <c r="J11" s="17" t="inlineStr">
        <is>
          <t>b</t>
        </is>
      </c>
      <c r="K11" s="17" t="inlineStr">
        <is>
          <t>C</t>
        </is>
      </c>
      <c r="L11" s="17" t="inlineStr">
        <is>
          <t>c</t>
        </is>
      </c>
    </row>
    <row r="12">
      <c r="A12" s="18" t="inlineStr">
        <is>
          <t>3/8</t>
        </is>
      </c>
      <c r="B12" s="19" t="n">
        <v>0.402</v>
      </c>
      <c r="C12" s="19" t="n">
        <v>0.43</v>
      </c>
      <c r="D12" s="19" t="n">
        <v>0.45</v>
      </c>
      <c r="E12" s="19" t="n">
        <v>0.493</v>
      </c>
      <c r="F12" s="19" t="n">
        <v>0.485</v>
      </c>
      <c r="G12" s="19" t="n">
        <v>0.423</v>
      </c>
      <c r="H12" s="19" t="n">
        <v>0.485</v>
      </c>
      <c r="I12" s="19" t="n">
        <v>0.8149999999999999</v>
      </c>
      <c r="J12" s="19" t="n">
        <v>0.825</v>
      </c>
      <c r="K12" s="19" t="n">
        <v>0.493</v>
      </c>
      <c r="L12" s="19" t="n">
        <v>0.423</v>
      </c>
    </row>
    <row r="13">
      <c r="A13" s="18" t="inlineStr">
        <is>
          <t>1/2</t>
        </is>
      </c>
      <c r="B13" s="19" t="n">
        <v>0.527</v>
      </c>
      <c r="C13" s="19" t="n">
        <v>0.545</v>
      </c>
      <c r="D13" s="19" t="n">
        <v>0.569</v>
      </c>
      <c r="E13" s="19" t="n">
        <v>0.602</v>
      </c>
      <c r="F13" s="19" t="n">
        <v>0.485</v>
      </c>
      <c r="G13" s="19" t="n">
        <v>0.526</v>
      </c>
      <c r="H13" s="19" t="n">
        <v>0.485</v>
      </c>
      <c r="I13" s="19" t="n">
        <v>0.8149999999999999</v>
      </c>
      <c r="J13" s="19" t="n">
        <v>0.825</v>
      </c>
      <c r="K13" s="19" t="n">
        <v>0.622</v>
      </c>
      <c r="L13" s="19" t="n">
        <v>0.546</v>
      </c>
    </row>
    <row r="14">
      <c r="A14" s="18" t="inlineStr">
        <is>
          <t>3/4</t>
        </is>
      </c>
      <c r="B14" s="19" t="n">
        <v>0.745</v>
      </c>
      <c r="C14" s="19" t="n">
        <v>0.785</v>
      </c>
      <c r="D14" s="19" t="n">
        <v>0.8110000000000001</v>
      </c>
      <c r="E14" s="19" t="n">
        <v>0.804</v>
      </c>
      <c r="F14" s="19" t="n">
        <v>0.681</v>
      </c>
      <c r="G14" s="19" t="n">
        <v>0.722</v>
      </c>
      <c r="H14" s="19" t="n">
        <v>0.681</v>
      </c>
      <c r="I14" s="19" t="n">
        <v>0.8149999999999999</v>
      </c>
      <c r="J14" s="19" t="n">
        <v>0.825</v>
      </c>
      <c r="K14" s="19" t="n">
        <v>0.824</v>
      </c>
      <c r="L14" s="19" t="n">
        <v>0.742</v>
      </c>
    </row>
    <row r="15">
      <c r="A15" s="18" t="inlineStr">
        <is>
          <t>1</t>
        </is>
      </c>
      <c r="B15" s="19" t="n">
        <v>0.995</v>
      </c>
      <c r="C15" s="19" t="n">
        <v>1.025</v>
      </c>
      <c r="D15" s="19" t="n">
        <v>1.055</v>
      </c>
      <c r="E15" s="19" t="n">
        <v>1.029</v>
      </c>
      <c r="F15" s="19" t="n">
        <v>0.875</v>
      </c>
      <c r="G15" s="19" t="n">
        <v>0.9360000000000001</v>
      </c>
      <c r="H15" s="19" t="n">
        <v>0.875</v>
      </c>
      <c r="I15" s="19" t="n">
        <v>0.8149999999999999</v>
      </c>
      <c r="J15" s="19" t="n">
        <v>0.825</v>
      </c>
      <c r="K15" s="19" t="n">
        <v>0.8149999999999999</v>
      </c>
      <c r="L15" s="19" t="n">
        <v>0.825</v>
      </c>
    </row>
    <row r="16">
      <c r="A16" s="18" t="inlineStr">
        <is>
          <t>1 1/4</t>
        </is>
      </c>
      <c r="B16" s="19" t="n">
        <v>1.245</v>
      </c>
      <c r="C16" s="19" t="n">
        <v>1.265</v>
      </c>
      <c r="D16" s="19" t="n">
        <v>1.291</v>
      </c>
      <c r="E16" s="19" t="n">
        <v>1</v>
      </c>
      <c r="F16" s="19" t="n">
        <v>1</v>
      </c>
      <c r="G16" s="19" t="n">
        <v>1</v>
      </c>
      <c r="H16" s="19" t="n">
        <v>1</v>
      </c>
      <c r="I16" s="19" t="n">
        <v>0.8149999999999999</v>
      </c>
      <c r="J16" s="19" t="n">
        <v>0.825</v>
      </c>
      <c r="K16" s="19" t="n">
        <v>0.8149999999999999</v>
      </c>
      <c r="L16" s="19" t="n">
        <v>0.825</v>
      </c>
    </row>
    <row r="17">
      <c r="A17" s="18" t="inlineStr">
        <is>
          <t>1 1/2</t>
        </is>
      </c>
      <c r="B17" s="19" t="n">
        <v>1.481</v>
      </c>
      <c r="C17" s="19" t="n">
        <v>1.505</v>
      </c>
      <c r="D17" s="19" t="n">
        <v>1.527</v>
      </c>
      <c r="E17" s="19" t="n">
        <v>1</v>
      </c>
      <c r="F17" s="19" t="n">
        <v>1</v>
      </c>
      <c r="G17" s="19" t="n">
        <v>1</v>
      </c>
      <c r="H17" s="19" t="n">
        <v>1</v>
      </c>
      <c r="I17" s="19" t="n">
        <v>0.8149999999999999</v>
      </c>
      <c r="J17" s="19" t="n">
        <v>0.825</v>
      </c>
      <c r="K17" s="19" t="n">
        <v>0.8149999999999999</v>
      </c>
      <c r="L17" s="19" t="n">
        <v>0.825</v>
      </c>
    </row>
    <row r="19">
      <c r="A19" s="15" t="inlineStr">
        <is>
          <t>OPTIMIZED Lf (Claude fills as fits complete; blank = not yet fitted)</t>
        </is>
      </c>
      <c r="F19" s="16" t="inlineStr">
        <is>
          <t>Provisional entries carry a cell note</t>
        </is>
      </c>
    </row>
    <row r="20">
      <c r="B20" s="17" t="inlineStr">
        <is>
          <t>K</t>
        </is>
      </c>
      <c r="C20" s="17" t="inlineStr">
        <is>
          <t>L</t>
        </is>
      </c>
      <c r="D20" s="17" t="inlineStr">
        <is>
          <t>M</t>
        </is>
      </c>
      <c r="E20" s="17" t="inlineStr">
        <is>
          <t>P</t>
        </is>
      </c>
      <c r="F20" s="17" t="inlineStr">
        <is>
          <t>X</t>
        </is>
      </c>
      <c r="G20" s="17" t="inlineStr">
        <is>
          <t>p</t>
        </is>
      </c>
      <c r="H20" s="17" t="inlineStr">
        <is>
          <t>x</t>
        </is>
      </c>
      <c r="I20" s="17" t="inlineStr">
        <is>
          <t>B</t>
        </is>
      </c>
      <c r="J20" s="17" t="inlineStr">
        <is>
          <t>b</t>
        </is>
      </c>
      <c r="K20" s="17" t="inlineStr">
        <is>
          <t>C</t>
        </is>
      </c>
      <c r="L20" s="17" t="inlineStr">
        <is>
          <t>c</t>
        </is>
      </c>
    </row>
    <row r="21">
      <c r="A21" s="18" t="inlineStr">
        <is>
          <t>3/8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8" t="inlineStr">
        <is>
          <t>1/2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8" t="inlineStr">
        <is>
          <t>3/4</t>
        </is>
      </c>
      <c r="B23" s="12" t="n"/>
      <c r="C23" s="12" t="n"/>
      <c r="D23" s="12" t="n"/>
      <c r="E23" s="12" t="n">
        <v>2.211</v>
      </c>
      <c r="F23" s="12" t="n"/>
      <c r="G23" s="12" t="n"/>
      <c r="H23" s="12" t="n"/>
      <c r="I23" s="12" t="n"/>
      <c r="J23" s="12" t="n"/>
      <c r="K23" s="12" t="n"/>
      <c r="L23" s="12" t="n"/>
    </row>
    <row r="24">
      <c r="A24" s="18" t="inlineStr">
        <is>
          <t>1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8" t="inlineStr">
        <is>
          <t>1 1/4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8" t="inlineStr">
        <is>
          <t>1 1/2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8">
      <c r="A28" s="15" t="inlineStr">
        <is>
          <t>DELTA (Optimized - Current)</t>
        </is>
      </c>
    </row>
    <row r="29">
      <c r="B29" s="17" t="inlineStr">
        <is>
          <t>K</t>
        </is>
      </c>
      <c r="C29" s="17" t="inlineStr">
        <is>
          <t>L</t>
        </is>
      </c>
      <c r="D29" s="17" t="inlineStr">
        <is>
          <t>M</t>
        </is>
      </c>
      <c r="E29" s="17" t="inlineStr">
        <is>
          <t>P</t>
        </is>
      </c>
      <c r="F29" s="17" t="inlineStr">
        <is>
          <t>X</t>
        </is>
      </c>
      <c r="G29" s="17" t="inlineStr">
        <is>
          <t>p</t>
        </is>
      </c>
      <c r="H29" s="17" t="inlineStr">
        <is>
          <t>x</t>
        </is>
      </c>
      <c r="I29" s="17" t="inlineStr">
        <is>
          <t>B</t>
        </is>
      </c>
      <c r="J29" s="17" t="inlineStr">
        <is>
          <t>b</t>
        </is>
      </c>
      <c r="K29" s="17" t="inlineStr">
        <is>
          <t>C</t>
        </is>
      </c>
      <c r="L29" s="17" t="inlineStr">
        <is>
          <t>c</t>
        </is>
      </c>
    </row>
    <row r="30">
      <c r="A30" s="18" t="inlineStr">
        <is>
          <t>3/8</t>
        </is>
      </c>
      <c r="B30" s="20">
        <f>IF(B21="","",B21-B3)</f>
        <v/>
      </c>
      <c r="C30" s="20">
        <f>IF(C21="","",C21-C3)</f>
        <v/>
      </c>
      <c r="D30" s="20">
        <f>IF(D21="","",D21-D3)</f>
        <v/>
      </c>
      <c r="E30" s="20">
        <f>IF(E21="","",E21-E3)</f>
        <v/>
      </c>
      <c r="F30" s="20">
        <f>IF(F21="","",F21-F3)</f>
        <v/>
      </c>
      <c r="G30" s="20">
        <f>IF(G21="","",G21-G3)</f>
        <v/>
      </c>
      <c r="H30" s="20">
        <f>IF(H21="","",H21-H3)</f>
        <v/>
      </c>
      <c r="I30" s="20">
        <f>IF(I21="","",I21-I3)</f>
        <v/>
      </c>
      <c r="J30" s="20">
        <f>IF(J21="","",J21-J3)</f>
        <v/>
      </c>
      <c r="K30" s="20">
        <f>IF(K21="","",K21-K3)</f>
        <v/>
      </c>
      <c r="L30" s="20">
        <f>IF(L21="","",L21-L3)</f>
        <v/>
      </c>
    </row>
    <row r="31">
      <c r="A31" s="18" t="inlineStr">
        <is>
          <t>1/2</t>
        </is>
      </c>
      <c r="B31" s="20">
        <f>IF(B22="","",B22-B4)</f>
        <v/>
      </c>
      <c r="C31" s="20">
        <f>IF(C22="","",C22-C4)</f>
        <v/>
      </c>
      <c r="D31" s="20">
        <f>IF(D22="","",D22-D4)</f>
        <v/>
      </c>
      <c r="E31" s="20">
        <f>IF(E22="","",E22-E4)</f>
        <v/>
      </c>
      <c r="F31" s="20">
        <f>IF(F22="","",F22-F4)</f>
        <v/>
      </c>
      <c r="G31" s="20">
        <f>IF(G22="","",G22-G4)</f>
        <v/>
      </c>
      <c r="H31" s="20">
        <f>IF(H22="","",H22-H4)</f>
        <v/>
      </c>
      <c r="I31" s="20">
        <f>IF(I22="","",I22-I4)</f>
        <v/>
      </c>
      <c r="J31" s="20">
        <f>IF(J22="","",J22-J4)</f>
        <v/>
      </c>
      <c r="K31" s="20">
        <f>IF(K22="","",K22-K4)</f>
        <v/>
      </c>
      <c r="L31" s="20">
        <f>IF(L22="","",L22-L4)</f>
        <v/>
      </c>
    </row>
    <row r="32">
      <c r="A32" s="18" t="inlineStr">
        <is>
          <t>3/4</t>
        </is>
      </c>
      <c r="B32" s="20">
        <f>IF(B23="","",B23-B5)</f>
        <v/>
      </c>
      <c r="C32" s="20">
        <f>IF(C23="","",C23-C5)</f>
        <v/>
      </c>
      <c r="D32" s="20">
        <f>IF(D23="","",D23-D5)</f>
        <v/>
      </c>
      <c r="E32" s="20">
        <f>IF(E23="","",E23-E5)</f>
        <v/>
      </c>
      <c r="F32" s="20">
        <f>IF(F23="","",F23-F5)</f>
        <v/>
      </c>
      <c r="G32" s="20">
        <f>IF(G23="","",G23-G5)</f>
        <v/>
      </c>
      <c r="H32" s="20">
        <f>IF(H23="","",H23-H5)</f>
        <v/>
      </c>
      <c r="I32" s="20">
        <f>IF(I23="","",I23-I5)</f>
        <v/>
      </c>
      <c r="J32" s="20">
        <f>IF(J23="","",J23-J5)</f>
        <v/>
      </c>
      <c r="K32" s="20">
        <f>IF(K23="","",K23-K5)</f>
        <v/>
      </c>
      <c r="L32" s="20">
        <f>IF(L23="","",L23-L5)</f>
        <v/>
      </c>
    </row>
    <row r="33">
      <c r="A33" s="18" t="inlineStr">
        <is>
          <t>1</t>
        </is>
      </c>
      <c r="B33" s="20">
        <f>IF(B24="","",B24-B6)</f>
        <v/>
      </c>
      <c r="C33" s="20">
        <f>IF(C24="","",C24-C6)</f>
        <v/>
      </c>
      <c r="D33" s="20">
        <f>IF(D24="","",D24-D6)</f>
        <v/>
      </c>
      <c r="E33" s="20">
        <f>IF(E24="","",E24-E6)</f>
        <v/>
      </c>
      <c r="F33" s="20">
        <f>IF(F24="","",F24-F6)</f>
        <v/>
      </c>
      <c r="G33" s="20">
        <f>IF(G24="","",G24-G6)</f>
        <v/>
      </c>
      <c r="H33" s="20">
        <f>IF(H24="","",H24-H6)</f>
        <v/>
      </c>
      <c r="I33" s="20">
        <f>IF(I24="","",I24-I6)</f>
        <v/>
      </c>
      <c r="J33" s="20">
        <f>IF(J24="","",J24-J6)</f>
        <v/>
      </c>
      <c r="K33" s="20">
        <f>IF(K24="","",K24-K6)</f>
        <v/>
      </c>
      <c r="L33" s="20">
        <f>IF(L24="","",L24-L6)</f>
        <v/>
      </c>
    </row>
    <row r="34">
      <c r="A34" s="18" t="inlineStr">
        <is>
          <t>1 1/4</t>
        </is>
      </c>
      <c r="B34" s="20">
        <f>IF(B25="","",B25-B7)</f>
        <v/>
      </c>
      <c r="C34" s="20">
        <f>IF(C25="","",C25-C7)</f>
        <v/>
      </c>
      <c r="D34" s="20">
        <f>IF(D25="","",D25-D7)</f>
        <v/>
      </c>
      <c r="E34" s="20">
        <f>IF(E25="","",E25-E7)</f>
        <v/>
      </c>
      <c r="F34" s="20">
        <f>IF(F25="","",F25-F7)</f>
        <v/>
      </c>
      <c r="G34" s="20">
        <f>IF(G25="","",G25-G7)</f>
        <v/>
      </c>
      <c r="H34" s="20">
        <f>IF(H25="","",H25-H7)</f>
        <v/>
      </c>
      <c r="I34" s="20">
        <f>IF(I25="","",I25-I7)</f>
        <v/>
      </c>
      <c r="J34" s="20">
        <f>IF(J25="","",J25-J7)</f>
        <v/>
      </c>
      <c r="K34" s="20">
        <f>IF(K25="","",K25-K7)</f>
        <v/>
      </c>
      <c r="L34" s="20">
        <f>IF(L25="","",L25-L7)</f>
        <v/>
      </c>
    </row>
    <row r="35">
      <c r="A35" s="18" t="inlineStr">
        <is>
          <t>1 1/2</t>
        </is>
      </c>
      <c r="B35" s="20">
        <f>IF(B26="","",B26-B8)</f>
        <v/>
      </c>
      <c r="C35" s="20">
        <f>IF(C26="","",C26-C8)</f>
        <v/>
      </c>
      <c r="D35" s="20">
        <f>IF(D26="","",D26-D8)</f>
        <v/>
      </c>
      <c r="E35" s="20">
        <f>IF(E26="","",E26-E8)</f>
        <v/>
      </c>
      <c r="F35" s="20">
        <f>IF(F26="","",F26-F8)</f>
        <v/>
      </c>
      <c r="G35" s="20">
        <f>IF(G26="","",G26-G8)</f>
        <v/>
      </c>
      <c r="H35" s="20">
        <f>IF(H26="","",H26-H8)</f>
        <v/>
      </c>
      <c r="I35" s="20">
        <f>IF(I26="","",I26-I8)</f>
        <v/>
      </c>
      <c r="J35" s="20">
        <f>IF(J26="","",J26-J8)</f>
        <v/>
      </c>
      <c r="K35" s="20">
        <f>IF(K26="","",K26-K8)</f>
        <v/>
      </c>
      <c r="L35" s="20">
        <f>IF(L26="","",L26-L8)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22" customWidth="1" min="4" max="4"/>
    <col width="46" customWidth="1" min="5" max="5"/>
    <col width="40" customWidth="1" min="6" max="6"/>
  </cols>
  <sheetData>
    <row r="1">
      <c r="A1" s="21" t="inlineStr">
        <is>
          <t>Size</t>
        </is>
      </c>
      <c r="B1" s="21" t="inlineStr">
        <is>
          <t>Type</t>
        </is>
      </c>
      <c r="C1" s="21" t="inlineStr">
        <is>
          <t>Material</t>
        </is>
      </c>
      <c r="D1" s="21" t="inlineStr">
        <is>
          <t>Rig / location</t>
        </is>
      </c>
      <c r="E1" s="21" t="inlineStr">
        <is>
          <t>TB device names</t>
        </is>
      </c>
      <c r="F1" s="21" t="inlineStr">
        <is>
          <t>Notes</t>
        </is>
      </c>
    </row>
    <row r="2">
      <c r="A2" s="7" t="inlineStr">
        <is>
          <t>3/4</t>
        </is>
      </c>
      <c r="B2" s="7" t="inlineStr">
        <is>
          <t>P</t>
        </is>
      </c>
      <c r="C2" s="7" t="inlineStr">
        <is>
          <t>PVC-40</t>
        </is>
      </c>
      <c r="D2" s="7" t="inlineStr">
        <is>
          <t>TB group: Flow Testing (tenant owner)</t>
        </is>
      </c>
      <c r="E2" s="7" t="inlineStr">
        <is>
          <t>70273063, 72714423, 70268147, 72718549, 72722129, 75372175</t>
        </is>
      </c>
      <c r="F2" s="7" t="inlineStr">
        <is>
          <t>6-meter series manifold; group id 79b9d5f0-9343-11f1-a1a6-391af391818e; campaign attrs (lFactor/frc/piezo) scope to THIS group, not FOTA Test-Cust</t>
        </is>
      </c>
    </row>
    <row r="3">
      <c r="A3" s="7" t="inlineStr">
        <is>
          <t>3/4</t>
        </is>
      </c>
      <c r="B3" s="7" t="inlineStr">
        <is>
          <t>M</t>
        </is>
      </c>
      <c r="C3" s="7" t="inlineStr">
        <is>
          <t>Copper M</t>
        </is>
      </c>
      <c r="D3" s="7" t="inlineStr">
        <is>
          <t>Board 2 bench</t>
        </is>
      </c>
      <c r="E3" s="7" t="inlineStr">
        <is>
          <t>79454912</t>
        </is>
      </c>
      <c r="F3" s="7" t="inlineStr">
        <is>
          <t>SWD/console bench board; fwVer 17029? verify before use</t>
        </is>
      </c>
    </row>
    <row r="4">
      <c r="A4" s="7" t="inlineStr">
        <is>
          <t>3/4</t>
        </is>
      </c>
      <c r="B4" s="7" t="inlineStr">
        <is>
          <t>X</t>
        </is>
      </c>
      <c r="C4" s="7" t="inlineStr">
        <is>
          <t>PEX-A</t>
        </is>
      </c>
      <c r="D4" s="7" t="inlineStr">
        <is>
          <t>Wyse bench</t>
        </is>
      </c>
      <c r="E4" s="7" t="inlineStr">
        <is>
          <t>79459697, 79457055, 79459630</t>
        </is>
      </c>
      <c r="F4" s="7" t="inlineStr">
        <is>
          <t>'055 = known acoustic outlier, exclude from fits; verify pipetype attr X vs x</t>
        </is>
      </c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13" customWidth="1" min="4" max="4"/>
    <col width="9" customWidth="1" min="5" max="5"/>
    <col width="11" customWidth="1" min="6" max="6"/>
    <col width="12" customWidth="1" min="7" max="7"/>
    <col width="9" customWidth="1" min="8" max="8"/>
  </cols>
  <sheetData>
    <row r="1">
      <c r="A1" s="33" t="inlineStr">
        <is>
          <t>PVC-40 3/4" 50-gal runs — k(Re) corrected. k(t)=1-0.1139*t^2-0.0318*t^3, t=ln(Re/7900), identity Re&gt;=7900, clamp k&gt;=0.80. Re=3934*gpm (3/4" PVC, ~20C). Fitted from this dataset 8/8-8/9 (1gpm anchor excludes 72714423, &gt;2x IQR).</t>
        </is>
      </c>
    </row>
    <row r="2">
      <c r="A2" s="4" t="inlineStr">
        <is>
          <t>Device</t>
        </is>
      </c>
      <c r="B2" s="4" t="inlineStr">
        <is>
          <t>Rate (gpm)</t>
        </is>
      </c>
      <c r="C2" s="4" t="inlineStr">
        <is>
          <t>Re</t>
        </is>
      </c>
      <c r="D2" s="4" t="inlineStr">
        <is>
          <t>Raw event (gal)</t>
        </is>
      </c>
      <c r="E2" s="4" t="inlineStr">
        <is>
          <t>Raw err %</t>
        </is>
      </c>
      <c r="F2" s="4" t="inlineStr">
        <is>
          <t>k (formula)</t>
        </is>
      </c>
      <c r="G2" s="4" t="inlineStr">
        <is>
          <t>Corrected (gal)</t>
        </is>
      </c>
      <c r="H2" s="4" t="inlineStr">
        <is>
          <t>Corr err %</t>
        </is>
      </c>
    </row>
    <row r="3">
      <c r="A3" s="7" t="inlineStr">
        <is>
          <t>70273063</t>
        </is>
      </c>
      <c r="B3" s="7" t="n">
        <v>5</v>
      </c>
      <c r="C3" s="34">
        <f>B3*3934</f>
        <v/>
      </c>
      <c r="D3" s="7" t="n">
        <v>50.123</v>
      </c>
      <c r="E3" s="35">
        <f>D3/50-1</f>
        <v/>
      </c>
      <c r="F3" s="12">
        <f>IF(C3&gt;=7900,1,MAX(0.8,1-0.1139*LN(C3/7900)^2-0.0318*LN(C3/7900)^3))</f>
        <v/>
      </c>
      <c r="G3" s="11">
        <f>D3*F3</f>
        <v/>
      </c>
      <c r="H3" s="35">
        <f>G3/50-1</f>
        <v/>
      </c>
    </row>
    <row r="4">
      <c r="A4" s="7" t="inlineStr">
        <is>
          <t>72714423</t>
        </is>
      </c>
      <c r="B4" s="7" t="n">
        <v>5</v>
      </c>
      <c r="C4" s="34">
        <f>B4*3934</f>
        <v/>
      </c>
      <c r="D4" s="7" t="n">
        <v>50.917</v>
      </c>
      <c r="E4" s="35">
        <f>D4/50-1</f>
        <v/>
      </c>
      <c r="F4" s="12">
        <f>IF(C4&gt;=7900,1,MAX(0.8,1-0.1139*LN(C4/7900)^2-0.0318*LN(C4/7900)^3))</f>
        <v/>
      </c>
      <c r="G4" s="11">
        <f>D4*F4</f>
        <v/>
      </c>
      <c r="H4" s="35">
        <f>G4/50-1</f>
        <v/>
      </c>
    </row>
    <row r="5">
      <c r="A5" s="7" t="inlineStr">
        <is>
          <t>70268147</t>
        </is>
      </c>
      <c r="B5" s="7" t="n">
        <v>5</v>
      </c>
      <c r="C5" s="34">
        <f>B5*3934</f>
        <v/>
      </c>
      <c r="D5" s="7" t="n">
        <v>50.655</v>
      </c>
      <c r="E5" s="35">
        <f>D5/50-1</f>
        <v/>
      </c>
      <c r="F5" s="12">
        <f>IF(C5&gt;=7900,1,MAX(0.8,1-0.1139*LN(C5/7900)^2-0.0318*LN(C5/7900)^3))</f>
        <v/>
      </c>
      <c r="G5" s="11">
        <f>D5*F5</f>
        <v/>
      </c>
      <c r="H5" s="35">
        <f>G5/50-1</f>
        <v/>
      </c>
    </row>
    <row r="6">
      <c r="A6" s="7" t="inlineStr">
        <is>
          <t>72718549</t>
        </is>
      </c>
      <c r="B6" s="7" t="n">
        <v>5</v>
      </c>
      <c r="C6" s="34">
        <f>B6*3934</f>
        <v/>
      </c>
      <c r="D6" s="7" t="n">
        <v>48.627</v>
      </c>
      <c r="E6" s="35">
        <f>D6/50-1</f>
        <v/>
      </c>
      <c r="F6" s="12">
        <f>IF(C6&gt;=7900,1,MAX(0.8,1-0.1139*LN(C6/7900)^2-0.0318*LN(C6/7900)^3))</f>
        <v/>
      </c>
      <c r="G6" s="11">
        <f>D6*F6</f>
        <v/>
      </c>
      <c r="H6" s="35">
        <f>G6/50-1</f>
        <v/>
      </c>
    </row>
    <row r="7">
      <c r="A7" s="7" t="inlineStr">
        <is>
          <t>72722129</t>
        </is>
      </c>
      <c r="B7" s="7" t="n">
        <v>5</v>
      </c>
      <c r="C7" s="34">
        <f>B7*3934</f>
        <v/>
      </c>
      <c r="D7" s="7" t="n">
        <v>49.685</v>
      </c>
      <c r="E7" s="35">
        <f>D7/50-1</f>
        <v/>
      </c>
      <c r="F7" s="12">
        <f>IF(C7&gt;=7900,1,MAX(0.8,1-0.1139*LN(C7/7900)^2-0.0318*LN(C7/7900)^3))</f>
        <v/>
      </c>
      <c r="G7" s="11">
        <f>D7*F7</f>
        <v/>
      </c>
      <c r="H7" s="35">
        <f>G7/50-1</f>
        <v/>
      </c>
    </row>
    <row r="8">
      <c r="A8" s="7" t="inlineStr">
        <is>
          <t>75372175</t>
        </is>
      </c>
      <c r="B8" s="7" t="n">
        <v>5</v>
      </c>
      <c r="C8" s="34">
        <f>B8*3934</f>
        <v/>
      </c>
      <c r="D8" s="7" t="n">
        <v>50.458</v>
      </c>
      <c r="E8" s="35">
        <f>D8/50-1</f>
        <v/>
      </c>
      <c r="F8" s="12">
        <f>IF(C8&gt;=7900,1,MAX(0.8,1-0.1139*LN(C8/7900)^2-0.0318*LN(C8/7900)^3))</f>
        <v/>
      </c>
      <c r="G8" s="11">
        <f>D8*F8</f>
        <v/>
      </c>
      <c r="H8" s="35">
        <f>G8/50-1</f>
        <v/>
      </c>
    </row>
    <row r="9">
      <c r="A9" s="7" t="inlineStr">
        <is>
          <t>70273063</t>
        </is>
      </c>
      <c r="B9" s="7" t="n">
        <v>1</v>
      </c>
      <c r="C9" s="34">
        <f>B9*3934</f>
        <v/>
      </c>
      <c r="D9" s="7" t="n">
        <v>50.865</v>
      </c>
      <c r="E9" s="35">
        <f>D9/50-1</f>
        <v/>
      </c>
      <c r="F9" s="12">
        <f>IF(C9&gt;=7900,1,MAX(0.8,1-0.1139*LN(C9/7900)^2-0.0318*LN(C9/7900)^3))</f>
        <v/>
      </c>
      <c r="G9" s="11">
        <f>D9*F9</f>
        <v/>
      </c>
      <c r="H9" s="35">
        <f>G9/50-1</f>
        <v/>
      </c>
    </row>
    <row r="10">
      <c r="A10" s="7" t="inlineStr">
        <is>
          <t>72714423</t>
        </is>
      </c>
      <c r="B10" s="7" t="n">
        <v>1</v>
      </c>
      <c r="C10" s="34">
        <f>B10*3934</f>
        <v/>
      </c>
      <c r="D10" s="7" t="n">
        <v>58.409</v>
      </c>
      <c r="E10" s="35">
        <f>D10/50-1</f>
        <v/>
      </c>
      <c r="F10" s="12">
        <f>IF(C10&gt;=7900,1,MAX(0.8,1-0.1139*LN(C10/7900)^2-0.0318*LN(C10/7900)^3))</f>
        <v/>
      </c>
      <c r="G10" s="11">
        <f>D10*F10</f>
        <v/>
      </c>
      <c r="H10" s="35">
        <f>G10/50-1</f>
        <v/>
      </c>
    </row>
    <row r="11">
      <c r="A11" s="7" t="inlineStr">
        <is>
          <t>70268147</t>
        </is>
      </c>
      <c r="B11" s="7" t="n">
        <v>1</v>
      </c>
      <c r="C11" s="34">
        <f>B11*3934</f>
        <v/>
      </c>
      <c r="D11" s="7" t="n">
        <v>53.134</v>
      </c>
      <c r="E11" s="35">
        <f>D11/50-1</f>
        <v/>
      </c>
      <c r="F11" s="12">
        <f>IF(C11&gt;=7900,1,MAX(0.8,1-0.1139*LN(C11/7900)^2-0.0318*LN(C11/7900)^3))</f>
        <v/>
      </c>
      <c r="G11" s="11">
        <f>D11*F11</f>
        <v/>
      </c>
      <c r="H11" s="35">
        <f>G11/50-1</f>
        <v/>
      </c>
    </row>
    <row r="12">
      <c r="A12" s="7" t="inlineStr">
        <is>
          <t>72718549</t>
        </is>
      </c>
      <c r="B12" s="7" t="n">
        <v>1</v>
      </c>
      <c r="C12" s="34">
        <f>B12*3934</f>
        <v/>
      </c>
      <c r="D12" s="7" t="n">
        <v>52.882</v>
      </c>
      <c r="E12" s="35">
        <f>D12/50-1</f>
        <v/>
      </c>
      <c r="F12" s="12">
        <f>IF(C12&gt;=7900,1,MAX(0.8,1-0.1139*LN(C12/7900)^2-0.0318*LN(C12/7900)^3))</f>
        <v/>
      </c>
      <c r="G12" s="11">
        <f>D12*F12</f>
        <v/>
      </c>
      <c r="H12" s="35">
        <f>G12/50-1</f>
        <v/>
      </c>
    </row>
    <row r="13">
      <c r="A13" s="7" t="inlineStr">
        <is>
          <t>72722129</t>
        </is>
      </c>
      <c r="B13" s="7" t="n">
        <v>1</v>
      </c>
      <c r="C13" s="34">
        <f>B13*3934</f>
        <v/>
      </c>
      <c r="D13" s="7" t="n">
        <v>53.006</v>
      </c>
      <c r="E13" s="35">
        <f>D13/50-1</f>
        <v/>
      </c>
      <c r="F13" s="12">
        <f>IF(C13&gt;=7900,1,MAX(0.8,1-0.1139*LN(C13/7900)^2-0.0318*LN(C13/7900)^3))</f>
        <v/>
      </c>
      <c r="G13" s="11">
        <f>D13*F13</f>
        <v/>
      </c>
      <c r="H13" s="35">
        <f>G13/50-1</f>
        <v/>
      </c>
    </row>
    <row r="14">
      <c r="A14" s="7" t="inlineStr">
        <is>
          <t>75372175</t>
        </is>
      </c>
      <c r="B14" s="7" t="n">
        <v>1</v>
      </c>
      <c r="C14" s="34">
        <f>B14*3934</f>
        <v/>
      </c>
      <c r="D14" s="7" t="n">
        <v>51.766</v>
      </c>
      <c r="E14" s="35">
        <f>D14/50-1</f>
        <v/>
      </c>
      <c r="F14" s="12">
        <f>IF(C14&gt;=7900,1,MAX(0.8,1-0.1139*LN(C14/7900)^2-0.0318*LN(C14/7900)^3))</f>
        <v/>
      </c>
      <c r="G14" s="11">
        <f>D14*F14</f>
        <v/>
      </c>
      <c r="H14" s="35">
        <f>G14/50-1</f>
        <v/>
      </c>
    </row>
    <row r="15">
      <c r="A15" s="7" t="inlineStr">
        <is>
          <t>70273063</t>
        </is>
      </c>
      <c r="B15" s="7" t="n">
        <v>0.5</v>
      </c>
      <c r="C15" s="34">
        <f>B15*3934</f>
        <v/>
      </c>
      <c r="D15" s="7" t="n">
        <v>59.391</v>
      </c>
      <c r="E15" s="35">
        <f>D15/50-1</f>
        <v/>
      </c>
      <c r="F15" s="12">
        <f>IF(C15&gt;=7900,1,MAX(0.8,1-0.1139*LN(C15/7900)^2-0.0318*LN(C15/7900)^3))</f>
        <v/>
      </c>
      <c r="G15" s="11">
        <f>D15*F15</f>
        <v/>
      </c>
      <c r="H15" s="35">
        <f>G15/50-1</f>
        <v/>
      </c>
    </row>
    <row r="16">
      <c r="A16" s="7" t="inlineStr">
        <is>
          <t>72714423</t>
        </is>
      </c>
      <c r="B16" s="7" t="n">
        <v>0.5</v>
      </c>
      <c r="C16" s="34">
        <f>B16*3934</f>
        <v/>
      </c>
      <c r="D16" s="7" t="n">
        <v>55.79</v>
      </c>
      <c r="E16" s="35">
        <f>D16/50-1</f>
        <v/>
      </c>
      <c r="F16" s="12">
        <f>IF(C16&gt;=7900,1,MAX(0.8,1-0.1139*LN(C16/7900)^2-0.0318*LN(C16/7900)^3))</f>
        <v/>
      </c>
      <c r="G16" s="11">
        <f>D16*F16</f>
        <v/>
      </c>
      <c r="H16" s="35">
        <f>G16/50-1</f>
        <v/>
      </c>
    </row>
    <row r="17">
      <c r="A17" s="7" t="inlineStr">
        <is>
          <t>70268147</t>
        </is>
      </c>
      <c r="B17" s="7" t="n">
        <v>0.5</v>
      </c>
      <c r="C17" s="34">
        <f>B17*3934</f>
        <v/>
      </c>
      <c r="D17" s="7" t="n">
        <v>58.972</v>
      </c>
      <c r="E17" s="35">
        <f>D17/50-1</f>
        <v/>
      </c>
      <c r="F17" s="12">
        <f>IF(C17&gt;=7900,1,MAX(0.8,1-0.1139*LN(C17/7900)^2-0.0318*LN(C17/7900)^3))</f>
        <v/>
      </c>
      <c r="G17" s="11">
        <f>D17*F17</f>
        <v/>
      </c>
      <c r="H17" s="35">
        <f>G17/50-1</f>
        <v/>
      </c>
    </row>
    <row r="18">
      <c r="A18" s="7" t="inlineStr">
        <is>
          <t>72718549</t>
        </is>
      </c>
      <c r="B18" s="7" t="n">
        <v>0.5</v>
      </c>
      <c r="C18" s="34">
        <f>B18*3934</f>
        <v/>
      </c>
      <c r="D18" s="7" t="n">
        <v>53.593</v>
      </c>
      <c r="E18" s="35">
        <f>D18/50-1</f>
        <v/>
      </c>
      <c r="F18" s="12">
        <f>IF(C18&gt;=7900,1,MAX(0.8,1-0.1139*LN(C18/7900)^2-0.0318*LN(C18/7900)^3))</f>
        <v/>
      </c>
      <c r="G18" s="11">
        <f>D18*F18</f>
        <v/>
      </c>
      <c r="H18" s="35">
        <f>G18/50-1</f>
        <v/>
      </c>
    </row>
    <row r="19">
      <c r="A19" s="7" t="inlineStr">
        <is>
          <t>72722129</t>
        </is>
      </c>
      <c r="B19" s="7" t="n">
        <v>0.5</v>
      </c>
      <c r="C19" s="34">
        <f>B19*3934</f>
        <v/>
      </c>
      <c r="D19" s="7" t="n">
        <v>62.179</v>
      </c>
      <c r="E19" s="35">
        <f>D19/50-1</f>
        <v/>
      </c>
      <c r="F19" s="12">
        <f>IF(C19&gt;=7900,1,MAX(0.8,1-0.1139*LN(C19/7900)^2-0.0318*LN(C19/7900)^3))</f>
        <v/>
      </c>
      <c r="G19" s="11">
        <f>D19*F19</f>
        <v/>
      </c>
      <c r="H19" s="35">
        <f>G19/50-1</f>
        <v/>
      </c>
    </row>
    <row r="20">
      <c r="A20" s="7" t="inlineStr">
        <is>
          <t>75372175</t>
        </is>
      </c>
      <c r="B20" s="7" t="n">
        <v>0.5</v>
      </c>
      <c r="C20" s="34">
        <f>B20*3934</f>
        <v/>
      </c>
      <c r="D20" s="7" t="n">
        <v>56.791</v>
      </c>
      <c r="E20" s="35">
        <f>D20/50-1</f>
        <v/>
      </c>
      <c r="F20" s="12">
        <f>IF(C20&gt;=7900,1,MAX(0.8,1-0.1139*LN(C20/7900)^2-0.0318*LN(C20/7900)^3))</f>
        <v/>
      </c>
      <c r="G20" s="11">
        <f>D20*F20</f>
        <v/>
      </c>
      <c r="H20" s="35">
        <f>G20/50-1</f>
        <v/>
      </c>
    </row>
    <row r="21">
      <c r="A21" s="36" t="inlineStr">
        <is>
          <t>MEAN 5 gpm</t>
        </is>
      </c>
      <c r="B21" s="36" t="n"/>
      <c r="C21" s="36" t="n"/>
      <c r="D21" s="37">
        <f>AVERAGE(D3:D8)</f>
        <v/>
      </c>
      <c r="E21" s="38">
        <f>D21/50-1</f>
        <v/>
      </c>
      <c r="F21" s="36" t="n"/>
      <c r="G21" s="37">
        <f>AVERAGE(G3:G8)</f>
        <v/>
      </c>
      <c r="H21" s="38">
        <f>G21/50-1</f>
        <v/>
      </c>
    </row>
    <row r="22">
      <c r="A22" s="36" t="inlineStr">
        <is>
          <t>MEAN 1 gpm</t>
        </is>
      </c>
      <c r="B22" s="36" t="n"/>
      <c r="C22" s="36" t="n"/>
      <c r="D22" s="37">
        <f>AVERAGE(D9:D14)</f>
        <v/>
      </c>
      <c r="E22" s="38">
        <f>D22/50-1</f>
        <v/>
      </c>
      <c r="F22" s="36" t="n"/>
      <c r="G22" s="37">
        <f>AVERAGE(G9:G14)</f>
        <v/>
      </c>
      <c r="H22" s="38">
        <f>G22/50-1</f>
        <v/>
      </c>
    </row>
    <row r="23">
      <c r="A23" s="36" t="inlineStr">
        <is>
          <t>MEAN 0.5 gpm</t>
        </is>
      </c>
      <c r="B23" s="36" t="n"/>
      <c r="C23" s="36" t="n"/>
      <c r="D23" s="37">
        <f>AVERAGE(D15:D20)</f>
        <v/>
      </c>
      <c r="E23" s="38">
        <f>D23/50-1</f>
        <v/>
      </c>
      <c r="F23" s="36" t="n"/>
      <c r="G23" s="37">
        <f>AVERAGE(G15:G20)</f>
        <v/>
      </c>
      <c r="H23" s="38">
        <f>G23/50-1</f>
        <v/>
      </c>
    </row>
    <row r="24">
      <c r="A24" s="7" t="inlineStr">
        <is>
          <t>70273063</t>
        </is>
      </c>
      <c r="B24" s="7" t="n">
        <v>7</v>
      </c>
      <c r="C24" s="34">
        <f>B24*3934</f>
        <v/>
      </c>
      <c r="D24" s="7" t="n">
        <v>50.647</v>
      </c>
      <c r="E24" s="35">
        <f>D24/50-1</f>
        <v/>
      </c>
      <c r="F24" s="12">
        <f>IF(C24&gt;=7900,1,MAX(0.8,1-0.1139*LN(C24/7900)^2-0.0318*LN(C24/7900)^3))</f>
        <v/>
      </c>
      <c r="G24" s="11">
        <f>D24*F24</f>
        <v/>
      </c>
      <c r="H24" s="35">
        <f>G24/50-1</f>
        <v/>
      </c>
    </row>
    <row r="25">
      <c r="A25" s="7" t="inlineStr">
        <is>
          <t>72714423</t>
        </is>
      </c>
      <c r="B25" s="7" t="n">
        <v>7</v>
      </c>
      <c r="C25" s="34">
        <f>B25*3934</f>
        <v/>
      </c>
      <c r="D25" s="7" t="n">
        <v>50.276</v>
      </c>
      <c r="E25" s="35">
        <f>D25/50-1</f>
        <v/>
      </c>
      <c r="F25" s="12">
        <f>IF(C25&gt;=7900,1,MAX(0.8,1-0.1139*LN(C25/7900)^2-0.0318*LN(C25/7900)^3))</f>
        <v/>
      </c>
      <c r="G25" s="11">
        <f>D25*F25</f>
        <v/>
      </c>
      <c r="H25" s="35">
        <f>G25/50-1</f>
        <v/>
      </c>
    </row>
    <row r="26">
      <c r="A26" s="7" t="inlineStr">
        <is>
          <t>70268147</t>
        </is>
      </c>
      <c r="B26" s="7" t="n">
        <v>7</v>
      </c>
      <c r="C26" s="34">
        <f>B26*3934</f>
        <v/>
      </c>
      <c r="D26" s="7" t="n">
        <v>51.106</v>
      </c>
      <c r="E26" s="35">
        <f>D26/50-1</f>
        <v/>
      </c>
      <c r="F26" s="12">
        <f>IF(C26&gt;=7900,1,MAX(0.8,1-0.1139*LN(C26/7900)^2-0.0318*LN(C26/7900)^3))</f>
        <v/>
      </c>
      <c r="G26" s="11">
        <f>D26*F26</f>
        <v/>
      </c>
      <c r="H26" s="35">
        <f>G26/50-1</f>
        <v/>
      </c>
    </row>
    <row r="27">
      <c r="A27" s="7" t="inlineStr">
        <is>
          <t>72718549</t>
        </is>
      </c>
      <c r="B27" s="7" t="n">
        <v>7</v>
      </c>
      <c r="C27" s="34">
        <f>B27*3934</f>
        <v/>
      </c>
      <c r="D27" s="7" t="n">
        <v>48.617</v>
      </c>
      <c r="E27" s="35">
        <f>D27/50-1</f>
        <v/>
      </c>
      <c r="F27" s="12">
        <f>IF(C27&gt;=7900,1,MAX(0.8,1-0.1139*LN(C27/7900)^2-0.0318*LN(C27/7900)^3))</f>
        <v/>
      </c>
      <c r="G27" s="11">
        <f>D27*F27</f>
        <v/>
      </c>
      <c r="H27" s="35">
        <f>G27/50-1</f>
        <v/>
      </c>
    </row>
    <row r="28">
      <c r="A28" s="7" t="inlineStr">
        <is>
          <t>72722129</t>
        </is>
      </c>
      <c r="B28" s="7" t="n">
        <v>7</v>
      </c>
      <c r="C28" s="34">
        <f>B28*3934</f>
        <v/>
      </c>
      <c r="D28" s="7" t="n">
        <v>49.096</v>
      </c>
      <c r="E28" s="35">
        <f>D28/50-1</f>
        <v/>
      </c>
      <c r="F28" s="12">
        <f>IF(C28&gt;=7900,1,MAX(0.8,1-0.1139*LN(C28/7900)^2-0.0318*LN(C28/7900)^3))</f>
        <v/>
      </c>
      <c r="G28" s="11">
        <f>D28*F28</f>
        <v/>
      </c>
      <c r="H28" s="35">
        <f>G28/50-1</f>
        <v/>
      </c>
    </row>
    <row r="29">
      <c r="A29" s="7" t="inlineStr">
        <is>
          <t>75372175</t>
        </is>
      </c>
      <c r="B29" s="7" t="n">
        <v>7</v>
      </c>
      <c r="C29" s="34">
        <f>B29*3934</f>
        <v/>
      </c>
      <c r="D29" s="7" t="n">
        <v>50.291</v>
      </c>
      <c r="E29" s="35">
        <f>D29/50-1</f>
        <v/>
      </c>
      <c r="F29" s="12">
        <f>IF(C29&gt;=7900,1,MAX(0.8,1-0.1139*LN(C29/7900)^2-0.0318*LN(C29/7900)^3))</f>
        <v/>
      </c>
      <c r="G29" s="11">
        <f>D29*F29</f>
        <v/>
      </c>
      <c r="H29" s="35">
        <f>G29/50-1</f>
        <v/>
      </c>
    </row>
    <row r="30">
      <c r="A30" s="36" t="inlineStr">
        <is>
          <t>MEAN 7 gpm</t>
        </is>
      </c>
      <c r="B30" s="36" t="n"/>
      <c r="C30" s="36" t="n"/>
      <c r="D30" s="37">
        <f>AVERAGE(D24:D29)</f>
        <v/>
      </c>
      <c r="E30" s="38">
        <f>D30/50-1</f>
        <v/>
      </c>
      <c r="F30" s="36" t="n"/>
      <c r="G30" s="37">
        <f>AVERAGE(G24:G29)</f>
        <v/>
      </c>
      <c r="H30" s="38">
        <f>G30/50-1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2026-08-08T16:08:55Z</dcterms:created>
  <dcterms:modified xsi:type="dcterms:W3CDTF">2026-08-16T20:16:17Z</dcterms:modified>
</cp:coreProperties>
</file>