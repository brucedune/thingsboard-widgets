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'Detail'!$A$1:$K$88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b val="1"/>
      <sz val="13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D9E2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17037 Field Failure Tally by Property — 2026-08-15 14:33 UTC</t>
        </is>
      </c>
    </row>
    <row r="2">
      <c r="A2" s="2" t="inlineStr">
        <is>
          <t>Scope: devices on FW 17037, Installed=TRUE, excluding Production Inventory/Provisioned/Start groups. Source: ThingsBoard live scan.</t>
        </is>
      </c>
    </row>
    <row r="4">
      <c r="A4" s="3" t="inlineStr">
        <is>
          <t>Property</t>
        </is>
      </c>
      <c r="B4" s="3" t="inlineStr">
        <is>
          <t>Total Failed</t>
        </is>
      </c>
      <c r="C4" s="3" t="inlineStr">
        <is>
          <t>Casualty (metered pre-FW)</t>
        </is>
      </c>
      <c r="D4" s="3" t="inlineStr">
        <is>
          <t>No Water</t>
        </is>
      </c>
      <c r="E4" s="3" t="inlineStr">
        <is>
          <t>Pre-existing dead</t>
        </is>
      </c>
      <c r="F4" s="3" t="inlineStr">
        <is>
          <t>Pulled meter (OLD tag)</t>
        </is>
      </c>
      <c r="G4" s="3" t="inlineStr">
        <is>
          <t>Unclassified</t>
        </is>
      </c>
      <c r="H4" s="3" t="inlineStr">
        <is>
          <t>Failed Cal</t>
        </is>
      </c>
      <c r="I4" s="3" t="inlineStr">
        <is>
          <t>Calibrating</t>
        </is>
      </c>
      <c r="J4" s="3" t="inlineStr">
        <is>
          <t>TI Silent</t>
        </is>
      </c>
      <c r="K4" s="3" t="inlineStr">
        <is>
          <t>HW Flag</t>
        </is>
      </c>
    </row>
    <row r="5">
      <c r="A5" s="4" t="inlineStr">
        <is>
          <t>Auburn MHC</t>
        </is>
      </c>
      <c r="B5" s="4">
        <f>COUNTIF(Detail!$B$2:$B$88,$A5)</f>
        <v/>
      </c>
      <c r="C5" s="4">
        <f>COUNTIFS(Detail!$B$2:$B$88,$A5,Detail!$E$2:$E$88,"Casualty (metered pre-FW)")</f>
        <v/>
      </c>
      <c r="D5" s="4">
        <f>COUNTIFS(Detail!$B$2:$B$88,$A5,Detail!$E$2:$E$88,"No Water flagged")</f>
        <v/>
      </c>
      <c r="E5" s="4">
        <f>COUNTIFS(Detail!$B$2:$B$88,$A5,Detail!$E$2:$E$88,"Pre-existing dead (never metered)")</f>
        <v/>
      </c>
      <c r="F5" s="4">
        <f>COUNTIFS(Detail!$B$2:$B$88,$A5,Detail!$E$2:$E$88,"Pulled meter (OLD/REMOVED tag)")</f>
        <v/>
      </c>
      <c r="G5" s="4">
        <f>COUNTIFS(Detail!$B$2:$B$88,$A5,Detail!$E$2:$E$88,"Unclassified")</f>
        <v/>
      </c>
      <c r="H5" s="4">
        <f>COUNTIFS(Detail!$B$2:$B$88,$A5,Detail!$D$2:$D$88,"Failed Cal")</f>
        <v/>
      </c>
      <c r="I5" s="4">
        <f>COUNTIFS(Detail!$B$2:$B$88,$A5,Detail!$D$2:$D$88,"Calibrating")</f>
        <v/>
      </c>
      <c r="J5" s="4">
        <f>COUNTIFS(Detail!$B$2:$B$88,$A5,Detail!$D$2:$D$88,"TI Silent")</f>
        <v/>
      </c>
      <c r="K5" s="4">
        <f>COUNTIFS(Detail!$B$2:$B$88,$A5,Detail!$J$2:$J$88,"Y")</f>
        <v/>
      </c>
    </row>
    <row r="6">
      <c r="A6" s="4" t="inlineStr">
        <is>
          <t>Aurora MHC</t>
        </is>
      </c>
      <c r="B6" s="4">
        <f>COUNTIF(Detail!$B$2:$B$88,$A6)</f>
        <v/>
      </c>
      <c r="C6" s="4">
        <f>COUNTIFS(Detail!$B$2:$B$88,$A6,Detail!$E$2:$E$88,"Casualty (metered pre-FW)")</f>
        <v/>
      </c>
      <c r="D6" s="4">
        <f>COUNTIFS(Detail!$B$2:$B$88,$A6,Detail!$E$2:$E$88,"No Water flagged")</f>
        <v/>
      </c>
      <c r="E6" s="4">
        <f>COUNTIFS(Detail!$B$2:$B$88,$A6,Detail!$E$2:$E$88,"Pre-existing dead (never metered)")</f>
        <v/>
      </c>
      <c r="F6" s="4">
        <f>COUNTIFS(Detail!$B$2:$B$88,$A6,Detail!$E$2:$E$88,"Pulled meter (OLD/REMOVED tag)")</f>
        <v/>
      </c>
      <c r="G6" s="4">
        <f>COUNTIFS(Detail!$B$2:$B$88,$A6,Detail!$E$2:$E$88,"Unclassified")</f>
        <v/>
      </c>
      <c r="H6" s="4">
        <f>COUNTIFS(Detail!$B$2:$B$88,$A6,Detail!$D$2:$D$88,"Failed Cal")</f>
        <v/>
      </c>
      <c r="I6" s="4">
        <f>COUNTIFS(Detail!$B$2:$B$88,$A6,Detail!$D$2:$D$88,"Calibrating")</f>
        <v/>
      </c>
      <c r="J6" s="4">
        <f>COUNTIFS(Detail!$B$2:$B$88,$A6,Detail!$D$2:$D$88,"TI Silent")</f>
        <v/>
      </c>
      <c r="K6" s="4">
        <f>COUNTIFS(Detail!$B$2:$B$88,$A6,Detail!$J$2:$J$88,"Y")</f>
        <v/>
      </c>
    </row>
    <row r="7">
      <c r="A7" s="4" t="inlineStr">
        <is>
          <t>Azulejo</t>
        </is>
      </c>
      <c r="B7" s="4">
        <f>COUNTIF(Detail!$B$2:$B$88,$A7)</f>
        <v/>
      </c>
      <c r="C7" s="4">
        <f>COUNTIFS(Detail!$B$2:$B$88,$A7,Detail!$E$2:$E$88,"Casualty (metered pre-FW)")</f>
        <v/>
      </c>
      <c r="D7" s="4">
        <f>COUNTIFS(Detail!$B$2:$B$88,$A7,Detail!$E$2:$E$88,"No Water flagged")</f>
        <v/>
      </c>
      <c r="E7" s="4">
        <f>COUNTIFS(Detail!$B$2:$B$88,$A7,Detail!$E$2:$E$88,"Pre-existing dead (never metered)")</f>
        <v/>
      </c>
      <c r="F7" s="4">
        <f>COUNTIFS(Detail!$B$2:$B$88,$A7,Detail!$E$2:$E$88,"Pulled meter (OLD/REMOVED tag)")</f>
        <v/>
      </c>
      <c r="G7" s="4">
        <f>COUNTIFS(Detail!$B$2:$B$88,$A7,Detail!$E$2:$E$88,"Unclassified")</f>
        <v/>
      </c>
      <c r="H7" s="4">
        <f>COUNTIFS(Detail!$B$2:$B$88,$A7,Detail!$D$2:$D$88,"Failed Cal")</f>
        <v/>
      </c>
      <c r="I7" s="4">
        <f>COUNTIFS(Detail!$B$2:$B$88,$A7,Detail!$D$2:$D$88,"Calibrating")</f>
        <v/>
      </c>
      <c r="J7" s="4">
        <f>COUNTIFS(Detail!$B$2:$B$88,$A7,Detail!$D$2:$D$88,"TI Silent")</f>
        <v/>
      </c>
      <c r="K7" s="4">
        <f>COUNTIFS(Detail!$B$2:$B$88,$A7,Detail!$J$2:$J$88,"Y")</f>
        <v/>
      </c>
    </row>
    <row r="8">
      <c r="A8" s="4" t="inlineStr">
        <is>
          <t>Broadway MHP DesMoines</t>
        </is>
      </c>
      <c r="B8" s="4">
        <f>COUNTIF(Detail!$B$2:$B$88,$A8)</f>
        <v/>
      </c>
      <c r="C8" s="4">
        <f>COUNTIFS(Detail!$B$2:$B$88,$A8,Detail!$E$2:$E$88,"Casualty (metered pre-FW)")</f>
        <v/>
      </c>
      <c r="D8" s="4">
        <f>COUNTIFS(Detail!$B$2:$B$88,$A8,Detail!$E$2:$E$88,"No Water flagged")</f>
        <v/>
      </c>
      <c r="E8" s="4">
        <f>COUNTIFS(Detail!$B$2:$B$88,$A8,Detail!$E$2:$E$88,"Pre-existing dead (never metered)")</f>
        <v/>
      </c>
      <c r="F8" s="4">
        <f>COUNTIFS(Detail!$B$2:$B$88,$A8,Detail!$E$2:$E$88,"Pulled meter (OLD/REMOVED tag)")</f>
        <v/>
      </c>
      <c r="G8" s="4">
        <f>COUNTIFS(Detail!$B$2:$B$88,$A8,Detail!$E$2:$E$88,"Unclassified")</f>
        <v/>
      </c>
      <c r="H8" s="4">
        <f>COUNTIFS(Detail!$B$2:$B$88,$A8,Detail!$D$2:$D$88,"Failed Cal")</f>
        <v/>
      </c>
      <c r="I8" s="4">
        <f>COUNTIFS(Detail!$B$2:$B$88,$A8,Detail!$D$2:$D$88,"Calibrating")</f>
        <v/>
      </c>
      <c r="J8" s="4">
        <f>COUNTIFS(Detail!$B$2:$B$88,$A8,Detail!$D$2:$D$88,"TI Silent")</f>
        <v/>
      </c>
      <c r="K8" s="4">
        <f>COUNTIFS(Detail!$B$2:$B$88,$A8,Detail!$J$2:$J$88,"Y")</f>
        <v/>
      </c>
    </row>
    <row r="9">
      <c r="A9" s="4" t="inlineStr">
        <is>
          <t>CJ</t>
        </is>
      </c>
      <c r="B9" s="4">
        <f>COUNTIF(Detail!$B$2:$B$88,$A9)</f>
        <v/>
      </c>
      <c r="C9" s="4">
        <f>COUNTIFS(Detail!$B$2:$B$88,$A9,Detail!$E$2:$E$88,"Casualty (metered pre-FW)")</f>
        <v/>
      </c>
      <c r="D9" s="4">
        <f>COUNTIFS(Detail!$B$2:$B$88,$A9,Detail!$E$2:$E$88,"No Water flagged")</f>
        <v/>
      </c>
      <c r="E9" s="4">
        <f>COUNTIFS(Detail!$B$2:$B$88,$A9,Detail!$E$2:$E$88,"Pre-existing dead (never metered)")</f>
        <v/>
      </c>
      <c r="F9" s="4">
        <f>COUNTIFS(Detail!$B$2:$B$88,$A9,Detail!$E$2:$E$88,"Pulled meter (OLD/REMOVED tag)")</f>
        <v/>
      </c>
      <c r="G9" s="4">
        <f>COUNTIFS(Detail!$B$2:$B$88,$A9,Detail!$E$2:$E$88,"Unclassified")</f>
        <v/>
      </c>
      <c r="H9" s="4">
        <f>COUNTIFS(Detail!$B$2:$B$88,$A9,Detail!$D$2:$D$88,"Failed Cal")</f>
        <v/>
      </c>
      <c r="I9" s="4">
        <f>COUNTIFS(Detail!$B$2:$B$88,$A9,Detail!$D$2:$D$88,"Calibrating")</f>
        <v/>
      </c>
      <c r="J9" s="4">
        <f>COUNTIFS(Detail!$B$2:$B$88,$A9,Detail!$D$2:$D$88,"TI Silent")</f>
        <v/>
      </c>
      <c r="K9" s="4">
        <f>COUNTIFS(Detail!$B$2:$B$88,$A9,Detail!$J$2:$J$88,"Y")</f>
        <v/>
      </c>
    </row>
    <row r="10">
      <c r="A10" s="4" t="inlineStr">
        <is>
          <t>Cactus Flower</t>
        </is>
      </c>
      <c r="B10" s="4">
        <f>COUNTIF(Detail!$B$2:$B$88,$A10)</f>
        <v/>
      </c>
      <c r="C10" s="4">
        <f>COUNTIFS(Detail!$B$2:$B$88,$A10,Detail!$E$2:$E$88,"Casualty (metered pre-FW)")</f>
        <v/>
      </c>
      <c r="D10" s="4">
        <f>COUNTIFS(Detail!$B$2:$B$88,$A10,Detail!$E$2:$E$88,"No Water flagged")</f>
        <v/>
      </c>
      <c r="E10" s="4">
        <f>COUNTIFS(Detail!$B$2:$B$88,$A10,Detail!$E$2:$E$88,"Pre-existing dead (never metered)")</f>
        <v/>
      </c>
      <c r="F10" s="4">
        <f>COUNTIFS(Detail!$B$2:$B$88,$A10,Detail!$E$2:$E$88,"Pulled meter (OLD/REMOVED tag)")</f>
        <v/>
      </c>
      <c r="G10" s="4">
        <f>COUNTIFS(Detail!$B$2:$B$88,$A10,Detail!$E$2:$E$88,"Unclassified")</f>
        <v/>
      </c>
      <c r="H10" s="4">
        <f>COUNTIFS(Detail!$B$2:$B$88,$A10,Detail!$D$2:$D$88,"Failed Cal")</f>
        <v/>
      </c>
      <c r="I10" s="4">
        <f>COUNTIFS(Detail!$B$2:$B$88,$A10,Detail!$D$2:$D$88,"Calibrating")</f>
        <v/>
      </c>
      <c r="J10" s="4">
        <f>COUNTIFS(Detail!$B$2:$B$88,$A10,Detail!$D$2:$D$88,"TI Silent")</f>
        <v/>
      </c>
      <c r="K10" s="4">
        <f>COUNTIFS(Detail!$B$2:$B$88,$A10,Detail!$J$2:$J$88,"Y")</f>
        <v/>
      </c>
    </row>
    <row r="11">
      <c r="A11" s="4" t="inlineStr">
        <is>
          <t>Canada</t>
        </is>
      </c>
      <c r="B11" s="4">
        <f>COUNTIF(Detail!$B$2:$B$88,$A11)</f>
        <v/>
      </c>
      <c r="C11" s="4">
        <f>COUNTIFS(Detail!$B$2:$B$88,$A11,Detail!$E$2:$E$88,"Casualty (metered pre-FW)")</f>
        <v/>
      </c>
      <c r="D11" s="4">
        <f>COUNTIFS(Detail!$B$2:$B$88,$A11,Detail!$E$2:$E$88,"No Water flagged")</f>
        <v/>
      </c>
      <c r="E11" s="4">
        <f>COUNTIFS(Detail!$B$2:$B$88,$A11,Detail!$E$2:$E$88,"Pre-existing dead (never metered)")</f>
        <v/>
      </c>
      <c r="F11" s="4">
        <f>COUNTIFS(Detail!$B$2:$B$88,$A11,Detail!$E$2:$E$88,"Pulled meter (OLD/REMOVED tag)")</f>
        <v/>
      </c>
      <c r="G11" s="4">
        <f>COUNTIFS(Detail!$B$2:$B$88,$A11,Detail!$E$2:$E$88,"Unclassified")</f>
        <v/>
      </c>
      <c r="H11" s="4">
        <f>COUNTIFS(Detail!$B$2:$B$88,$A11,Detail!$D$2:$D$88,"Failed Cal")</f>
        <v/>
      </c>
      <c r="I11" s="4">
        <f>COUNTIFS(Detail!$B$2:$B$88,$A11,Detail!$D$2:$D$88,"Calibrating")</f>
        <v/>
      </c>
      <c r="J11" s="4">
        <f>COUNTIFS(Detail!$B$2:$B$88,$A11,Detail!$D$2:$D$88,"TI Silent")</f>
        <v/>
      </c>
      <c r="K11" s="4">
        <f>COUNTIFS(Detail!$B$2:$B$88,$A11,Detail!$J$2:$J$88,"Y")</f>
        <v/>
      </c>
    </row>
    <row r="12">
      <c r="A12" s="4" t="inlineStr">
        <is>
          <t>Coleman Village</t>
        </is>
      </c>
      <c r="B12" s="4">
        <f>COUNTIF(Detail!$B$2:$B$88,$A12)</f>
        <v/>
      </c>
      <c r="C12" s="4">
        <f>COUNTIFS(Detail!$B$2:$B$88,$A12,Detail!$E$2:$E$88,"Casualty (metered pre-FW)")</f>
        <v/>
      </c>
      <c r="D12" s="4">
        <f>COUNTIFS(Detail!$B$2:$B$88,$A12,Detail!$E$2:$E$88,"No Water flagged")</f>
        <v/>
      </c>
      <c r="E12" s="4">
        <f>COUNTIFS(Detail!$B$2:$B$88,$A12,Detail!$E$2:$E$88,"Pre-existing dead (never metered)")</f>
        <v/>
      </c>
      <c r="F12" s="4">
        <f>COUNTIFS(Detail!$B$2:$B$88,$A12,Detail!$E$2:$E$88,"Pulled meter (OLD/REMOVED tag)")</f>
        <v/>
      </c>
      <c r="G12" s="4">
        <f>COUNTIFS(Detail!$B$2:$B$88,$A12,Detail!$E$2:$E$88,"Unclassified")</f>
        <v/>
      </c>
      <c r="H12" s="4">
        <f>COUNTIFS(Detail!$B$2:$B$88,$A12,Detail!$D$2:$D$88,"Failed Cal")</f>
        <v/>
      </c>
      <c r="I12" s="4">
        <f>COUNTIFS(Detail!$B$2:$B$88,$A12,Detail!$D$2:$D$88,"Calibrating")</f>
        <v/>
      </c>
      <c r="J12" s="4">
        <f>COUNTIFS(Detail!$B$2:$B$88,$A12,Detail!$D$2:$D$88,"TI Silent")</f>
        <v/>
      </c>
      <c r="K12" s="4">
        <f>COUNTIFS(Detail!$B$2:$B$88,$A12,Detail!$J$2:$J$88,"Y")</f>
        <v/>
      </c>
    </row>
    <row r="13">
      <c r="A13" s="4" t="inlineStr">
        <is>
          <t>Crystal Acres MHC</t>
        </is>
      </c>
      <c r="B13" s="4">
        <f>COUNTIF(Detail!$B$2:$B$88,$A13)</f>
        <v/>
      </c>
      <c r="C13" s="4">
        <f>COUNTIFS(Detail!$B$2:$B$88,$A13,Detail!$E$2:$E$88,"Casualty (metered pre-FW)")</f>
        <v/>
      </c>
      <c r="D13" s="4">
        <f>COUNTIFS(Detail!$B$2:$B$88,$A13,Detail!$E$2:$E$88,"No Water flagged")</f>
        <v/>
      </c>
      <c r="E13" s="4">
        <f>COUNTIFS(Detail!$B$2:$B$88,$A13,Detail!$E$2:$E$88,"Pre-existing dead (never metered)")</f>
        <v/>
      </c>
      <c r="F13" s="4">
        <f>COUNTIFS(Detail!$B$2:$B$88,$A13,Detail!$E$2:$E$88,"Pulled meter (OLD/REMOVED tag)")</f>
        <v/>
      </c>
      <c r="G13" s="4">
        <f>COUNTIFS(Detail!$B$2:$B$88,$A13,Detail!$E$2:$E$88,"Unclassified")</f>
        <v/>
      </c>
      <c r="H13" s="4">
        <f>COUNTIFS(Detail!$B$2:$B$88,$A13,Detail!$D$2:$D$88,"Failed Cal")</f>
        <v/>
      </c>
      <c r="I13" s="4">
        <f>COUNTIFS(Detail!$B$2:$B$88,$A13,Detail!$D$2:$D$88,"Calibrating")</f>
        <v/>
      </c>
      <c r="J13" s="4">
        <f>COUNTIFS(Detail!$B$2:$B$88,$A13,Detail!$D$2:$D$88,"TI Silent")</f>
        <v/>
      </c>
      <c r="K13" s="4">
        <f>COUNTIFS(Detail!$B$2:$B$88,$A13,Detail!$J$2:$J$88,"Y")</f>
        <v/>
      </c>
    </row>
    <row r="14">
      <c r="A14" s="4" t="inlineStr">
        <is>
          <t>Grand Valley Estates MHC</t>
        </is>
      </c>
      <c r="B14" s="4">
        <f>COUNTIF(Detail!$B$2:$B$88,$A14)</f>
        <v/>
      </c>
      <c r="C14" s="4">
        <f>COUNTIFS(Detail!$B$2:$B$88,$A14,Detail!$E$2:$E$88,"Casualty (metered pre-FW)")</f>
        <v/>
      </c>
      <c r="D14" s="4">
        <f>COUNTIFS(Detail!$B$2:$B$88,$A14,Detail!$E$2:$E$88,"No Water flagged")</f>
        <v/>
      </c>
      <c r="E14" s="4">
        <f>COUNTIFS(Detail!$B$2:$B$88,$A14,Detail!$E$2:$E$88,"Pre-existing dead (never metered)")</f>
        <v/>
      </c>
      <c r="F14" s="4">
        <f>COUNTIFS(Detail!$B$2:$B$88,$A14,Detail!$E$2:$E$88,"Pulled meter (OLD/REMOVED tag)")</f>
        <v/>
      </c>
      <c r="G14" s="4">
        <f>COUNTIFS(Detail!$B$2:$B$88,$A14,Detail!$E$2:$E$88,"Unclassified")</f>
        <v/>
      </c>
      <c r="H14" s="4">
        <f>COUNTIFS(Detail!$B$2:$B$88,$A14,Detail!$D$2:$D$88,"Failed Cal")</f>
        <v/>
      </c>
      <c r="I14" s="4">
        <f>COUNTIFS(Detail!$B$2:$B$88,$A14,Detail!$D$2:$D$88,"Calibrating")</f>
        <v/>
      </c>
      <c r="J14" s="4">
        <f>COUNTIFS(Detail!$B$2:$B$88,$A14,Detail!$D$2:$D$88,"TI Silent")</f>
        <v/>
      </c>
      <c r="K14" s="4">
        <f>COUNTIFS(Detail!$B$2:$B$88,$A14,Detail!$J$2:$J$88,"Y")</f>
        <v/>
      </c>
    </row>
    <row r="15">
      <c r="A15" s="4" t="inlineStr">
        <is>
          <t>Highlands MHC</t>
        </is>
      </c>
      <c r="B15" s="4">
        <f>COUNTIF(Detail!$B$2:$B$88,$A15)</f>
        <v/>
      </c>
      <c r="C15" s="4">
        <f>COUNTIFS(Detail!$B$2:$B$88,$A15,Detail!$E$2:$E$88,"Casualty (metered pre-FW)")</f>
        <v/>
      </c>
      <c r="D15" s="4">
        <f>COUNTIFS(Detail!$B$2:$B$88,$A15,Detail!$E$2:$E$88,"No Water flagged")</f>
        <v/>
      </c>
      <c r="E15" s="4">
        <f>COUNTIFS(Detail!$B$2:$B$88,$A15,Detail!$E$2:$E$88,"Pre-existing dead (never metered)")</f>
        <v/>
      </c>
      <c r="F15" s="4">
        <f>COUNTIFS(Detail!$B$2:$B$88,$A15,Detail!$E$2:$E$88,"Pulled meter (OLD/REMOVED tag)")</f>
        <v/>
      </c>
      <c r="G15" s="4">
        <f>COUNTIFS(Detail!$B$2:$B$88,$A15,Detail!$E$2:$E$88,"Unclassified")</f>
        <v/>
      </c>
      <c r="H15" s="4">
        <f>COUNTIFS(Detail!$B$2:$B$88,$A15,Detail!$D$2:$D$88,"Failed Cal")</f>
        <v/>
      </c>
      <c r="I15" s="4">
        <f>COUNTIFS(Detail!$B$2:$B$88,$A15,Detail!$D$2:$D$88,"Calibrating")</f>
        <v/>
      </c>
      <c r="J15" s="4">
        <f>COUNTIFS(Detail!$B$2:$B$88,$A15,Detail!$D$2:$D$88,"TI Silent")</f>
        <v/>
      </c>
      <c r="K15" s="4">
        <f>COUNTIFS(Detail!$B$2:$B$88,$A15,Detail!$J$2:$J$88,"Y")</f>
        <v/>
      </c>
    </row>
    <row r="16">
      <c r="A16" s="4" t="inlineStr">
        <is>
          <t>Hillview MHC</t>
        </is>
      </c>
      <c r="B16" s="4">
        <f>COUNTIF(Detail!$B$2:$B$88,$A16)</f>
        <v/>
      </c>
      <c r="C16" s="4">
        <f>COUNTIFS(Detail!$B$2:$B$88,$A16,Detail!$E$2:$E$88,"Casualty (metered pre-FW)")</f>
        <v/>
      </c>
      <c r="D16" s="4">
        <f>COUNTIFS(Detail!$B$2:$B$88,$A16,Detail!$E$2:$E$88,"No Water flagged")</f>
        <v/>
      </c>
      <c r="E16" s="4">
        <f>COUNTIFS(Detail!$B$2:$B$88,$A16,Detail!$E$2:$E$88,"Pre-existing dead (never metered)")</f>
        <v/>
      </c>
      <c r="F16" s="4">
        <f>COUNTIFS(Detail!$B$2:$B$88,$A16,Detail!$E$2:$E$88,"Pulled meter (OLD/REMOVED tag)")</f>
        <v/>
      </c>
      <c r="G16" s="4">
        <f>COUNTIFS(Detail!$B$2:$B$88,$A16,Detail!$E$2:$E$88,"Unclassified")</f>
        <v/>
      </c>
      <c r="H16" s="4">
        <f>COUNTIFS(Detail!$B$2:$B$88,$A16,Detail!$D$2:$D$88,"Failed Cal")</f>
        <v/>
      </c>
      <c r="I16" s="4">
        <f>COUNTIFS(Detail!$B$2:$B$88,$A16,Detail!$D$2:$D$88,"Calibrating")</f>
        <v/>
      </c>
      <c r="J16" s="4">
        <f>COUNTIFS(Detail!$B$2:$B$88,$A16,Detail!$D$2:$D$88,"TI Silent")</f>
        <v/>
      </c>
      <c r="K16" s="4">
        <f>COUNTIFS(Detail!$B$2:$B$88,$A16,Detail!$J$2:$J$88,"Y")</f>
        <v/>
      </c>
    </row>
    <row r="17">
      <c r="A17" s="4" t="inlineStr">
        <is>
          <t>Hoosier Park MHC</t>
        </is>
      </c>
      <c r="B17" s="4">
        <f>COUNTIF(Detail!$B$2:$B$88,$A17)</f>
        <v/>
      </c>
      <c r="C17" s="4">
        <f>COUNTIFS(Detail!$B$2:$B$88,$A17,Detail!$E$2:$E$88,"Casualty (metered pre-FW)")</f>
        <v/>
      </c>
      <c r="D17" s="4">
        <f>COUNTIFS(Detail!$B$2:$B$88,$A17,Detail!$E$2:$E$88,"No Water flagged")</f>
        <v/>
      </c>
      <c r="E17" s="4">
        <f>COUNTIFS(Detail!$B$2:$B$88,$A17,Detail!$E$2:$E$88,"Pre-existing dead (never metered)")</f>
        <v/>
      </c>
      <c r="F17" s="4">
        <f>COUNTIFS(Detail!$B$2:$B$88,$A17,Detail!$E$2:$E$88,"Pulled meter (OLD/REMOVED tag)")</f>
        <v/>
      </c>
      <c r="G17" s="4">
        <f>COUNTIFS(Detail!$B$2:$B$88,$A17,Detail!$E$2:$E$88,"Unclassified")</f>
        <v/>
      </c>
      <c r="H17" s="4">
        <f>COUNTIFS(Detail!$B$2:$B$88,$A17,Detail!$D$2:$D$88,"Failed Cal")</f>
        <v/>
      </c>
      <c r="I17" s="4">
        <f>COUNTIFS(Detail!$B$2:$B$88,$A17,Detail!$D$2:$D$88,"Calibrating")</f>
        <v/>
      </c>
      <c r="J17" s="4">
        <f>COUNTIFS(Detail!$B$2:$B$88,$A17,Detail!$D$2:$D$88,"TI Silent")</f>
        <v/>
      </c>
      <c r="K17" s="4">
        <f>COUNTIFS(Detail!$B$2:$B$88,$A17,Detail!$J$2:$J$88,"Y")</f>
        <v/>
      </c>
    </row>
    <row r="18">
      <c r="A18" s="4" t="inlineStr">
        <is>
          <t>Ibiza Village2</t>
        </is>
      </c>
      <c r="B18" s="4">
        <f>COUNTIF(Detail!$B$2:$B$88,$A18)</f>
        <v/>
      </c>
      <c r="C18" s="4">
        <f>COUNTIFS(Detail!$B$2:$B$88,$A18,Detail!$E$2:$E$88,"Casualty (metered pre-FW)")</f>
        <v/>
      </c>
      <c r="D18" s="4">
        <f>COUNTIFS(Detail!$B$2:$B$88,$A18,Detail!$E$2:$E$88,"No Water flagged")</f>
        <v/>
      </c>
      <c r="E18" s="4">
        <f>COUNTIFS(Detail!$B$2:$B$88,$A18,Detail!$E$2:$E$88,"Pre-existing dead (never metered)")</f>
        <v/>
      </c>
      <c r="F18" s="4">
        <f>COUNTIFS(Detail!$B$2:$B$88,$A18,Detail!$E$2:$E$88,"Pulled meter (OLD/REMOVED tag)")</f>
        <v/>
      </c>
      <c r="G18" s="4">
        <f>COUNTIFS(Detail!$B$2:$B$88,$A18,Detail!$E$2:$E$88,"Unclassified")</f>
        <v/>
      </c>
      <c r="H18" s="4">
        <f>COUNTIFS(Detail!$B$2:$B$88,$A18,Detail!$D$2:$D$88,"Failed Cal")</f>
        <v/>
      </c>
      <c r="I18" s="4">
        <f>COUNTIFS(Detail!$B$2:$B$88,$A18,Detail!$D$2:$D$88,"Calibrating")</f>
        <v/>
      </c>
      <c r="J18" s="4">
        <f>COUNTIFS(Detail!$B$2:$B$88,$A18,Detail!$D$2:$D$88,"TI Silent")</f>
        <v/>
      </c>
      <c r="K18" s="4">
        <f>COUNTIFS(Detail!$B$2:$B$88,$A18,Detail!$J$2:$J$88,"Y")</f>
        <v/>
      </c>
    </row>
    <row r="19">
      <c r="A19" s="4" t="inlineStr">
        <is>
          <t>John Alexander ADU 5YR</t>
        </is>
      </c>
      <c r="B19" s="4">
        <f>COUNTIF(Detail!$B$2:$B$88,$A19)</f>
        <v/>
      </c>
      <c r="C19" s="4">
        <f>COUNTIFS(Detail!$B$2:$B$88,$A19,Detail!$E$2:$E$88,"Casualty (metered pre-FW)")</f>
        <v/>
      </c>
      <c r="D19" s="4">
        <f>COUNTIFS(Detail!$B$2:$B$88,$A19,Detail!$E$2:$E$88,"No Water flagged")</f>
        <v/>
      </c>
      <c r="E19" s="4">
        <f>COUNTIFS(Detail!$B$2:$B$88,$A19,Detail!$E$2:$E$88,"Pre-existing dead (never metered)")</f>
        <v/>
      </c>
      <c r="F19" s="4">
        <f>COUNTIFS(Detail!$B$2:$B$88,$A19,Detail!$E$2:$E$88,"Pulled meter (OLD/REMOVED tag)")</f>
        <v/>
      </c>
      <c r="G19" s="4">
        <f>COUNTIFS(Detail!$B$2:$B$88,$A19,Detail!$E$2:$E$88,"Unclassified")</f>
        <v/>
      </c>
      <c r="H19" s="4">
        <f>COUNTIFS(Detail!$B$2:$B$88,$A19,Detail!$D$2:$D$88,"Failed Cal")</f>
        <v/>
      </c>
      <c r="I19" s="4">
        <f>COUNTIFS(Detail!$B$2:$B$88,$A19,Detail!$D$2:$D$88,"Calibrating")</f>
        <v/>
      </c>
      <c r="J19" s="4">
        <f>COUNTIFS(Detail!$B$2:$B$88,$A19,Detail!$D$2:$D$88,"TI Silent")</f>
        <v/>
      </c>
      <c r="K19" s="4">
        <f>COUNTIFS(Detail!$B$2:$B$88,$A19,Detail!$J$2:$J$88,"Y")</f>
        <v/>
      </c>
    </row>
    <row r="20">
      <c r="A20" s="4" t="inlineStr">
        <is>
          <t>Kingsbrook MHC</t>
        </is>
      </c>
      <c r="B20" s="4">
        <f>COUNTIF(Detail!$B$2:$B$88,$A20)</f>
        <v/>
      </c>
      <c r="C20" s="4">
        <f>COUNTIFS(Detail!$B$2:$B$88,$A20,Detail!$E$2:$E$88,"Casualty (metered pre-FW)")</f>
        <v/>
      </c>
      <c r="D20" s="4">
        <f>COUNTIFS(Detail!$B$2:$B$88,$A20,Detail!$E$2:$E$88,"No Water flagged")</f>
        <v/>
      </c>
      <c r="E20" s="4">
        <f>COUNTIFS(Detail!$B$2:$B$88,$A20,Detail!$E$2:$E$88,"Pre-existing dead (never metered)")</f>
        <v/>
      </c>
      <c r="F20" s="4">
        <f>COUNTIFS(Detail!$B$2:$B$88,$A20,Detail!$E$2:$E$88,"Pulled meter (OLD/REMOVED tag)")</f>
        <v/>
      </c>
      <c r="G20" s="4">
        <f>COUNTIFS(Detail!$B$2:$B$88,$A20,Detail!$E$2:$E$88,"Unclassified")</f>
        <v/>
      </c>
      <c r="H20" s="4">
        <f>COUNTIFS(Detail!$B$2:$B$88,$A20,Detail!$D$2:$D$88,"Failed Cal")</f>
        <v/>
      </c>
      <c r="I20" s="4">
        <f>COUNTIFS(Detail!$B$2:$B$88,$A20,Detail!$D$2:$D$88,"Calibrating")</f>
        <v/>
      </c>
      <c r="J20" s="4">
        <f>COUNTIFS(Detail!$B$2:$B$88,$A20,Detail!$D$2:$D$88,"TI Silent")</f>
        <v/>
      </c>
      <c r="K20" s="4">
        <f>COUNTIFS(Detail!$B$2:$B$88,$A20,Detail!$J$2:$J$88,"Y")</f>
        <v/>
      </c>
    </row>
    <row r="21">
      <c r="A21" s="4" t="inlineStr">
        <is>
          <t>Lafountaine MHC</t>
        </is>
      </c>
      <c r="B21" s="4">
        <f>COUNTIF(Detail!$B$2:$B$88,$A21)</f>
        <v/>
      </c>
      <c r="C21" s="4">
        <f>COUNTIFS(Detail!$B$2:$B$88,$A21,Detail!$E$2:$E$88,"Casualty (metered pre-FW)")</f>
        <v/>
      </c>
      <c r="D21" s="4">
        <f>COUNTIFS(Detail!$B$2:$B$88,$A21,Detail!$E$2:$E$88,"No Water flagged")</f>
        <v/>
      </c>
      <c r="E21" s="4">
        <f>COUNTIFS(Detail!$B$2:$B$88,$A21,Detail!$E$2:$E$88,"Pre-existing dead (never metered)")</f>
        <v/>
      </c>
      <c r="F21" s="4">
        <f>COUNTIFS(Detail!$B$2:$B$88,$A21,Detail!$E$2:$E$88,"Pulled meter (OLD/REMOVED tag)")</f>
        <v/>
      </c>
      <c r="G21" s="4">
        <f>COUNTIFS(Detail!$B$2:$B$88,$A21,Detail!$E$2:$E$88,"Unclassified")</f>
        <v/>
      </c>
      <c r="H21" s="4">
        <f>COUNTIFS(Detail!$B$2:$B$88,$A21,Detail!$D$2:$D$88,"Failed Cal")</f>
        <v/>
      </c>
      <c r="I21" s="4">
        <f>COUNTIFS(Detail!$B$2:$B$88,$A21,Detail!$D$2:$D$88,"Calibrating")</f>
        <v/>
      </c>
      <c r="J21" s="4">
        <f>COUNTIFS(Detail!$B$2:$B$88,$A21,Detail!$D$2:$D$88,"TI Silent")</f>
        <v/>
      </c>
      <c r="K21" s="4">
        <f>COUNTIFS(Detail!$B$2:$B$88,$A21,Detail!$J$2:$J$88,"Y")</f>
        <v/>
      </c>
    </row>
    <row r="22">
      <c r="A22" s="4" t="inlineStr">
        <is>
          <t>Little Acres MHC</t>
        </is>
      </c>
      <c r="B22" s="4">
        <f>COUNTIF(Detail!$B$2:$B$88,$A22)</f>
        <v/>
      </c>
      <c r="C22" s="4">
        <f>COUNTIFS(Detail!$B$2:$B$88,$A22,Detail!$E$2:$E$88,"Casualty (metered pre-FW)")</f>
        <v/>
      </c>
      <c r="D22" s="4">
        <f>COUNTIFS(Detail!$B$2:$B$88,$A22,Detail!$E$2:$E$88,"No Water flagged")</f>
        <v/>
      </c>
      <c r="E22" s="4">
        <f>COUNTIFS(Detail!$B$2:$B$88,$A22,Detail!$E$2:$E$88,"Pre-existing dead (never metered)")</f>
        <v/>
      </c>
      <c r="F22" s="4">
        <f>COUNTIFS(Detail!$B$2:$B$88,$A22,Detail!$E$2:$E$88,"Pulled meter (OLD/REMOVED tag)")</f>
        <v/>
      </c>
      <c r="G22" s="4">
        <f>COUNTIFS(Detail!$B$2:$B$88,$A22,Detail!$E$2:$E$88,"Unclassified")</f>
        <v/>
      </c>
      <c r="H22" s="4">
        <f>COUNTIFS(Detail!$B$2:$B$88,$A22,Detail!$D$2:$D$88,"Failed Cal")</f>
        <v/>
      </c>
      <c r="I22" s="4">
        <f>COUNTIFS(Detail!$B$2:$B$88,$A22,Detail!$D$2:$D$88,"Calibrating")</f>
        <v/>
      </c>
      <c r="J22" s="4">
        <f>COUNTIFS(Detail!$B$2:$B$88,$A22,Detail!$D$2:$D$88,"TI Silent")</f>
        <v/>
      </c>
      <c r="K22" s="4">
        <f>COUNTIFS(Detail!$B$2:$B$88,$A22,Detail!$J$2:$J$88,"Y")</f>
        <v/>
      </c>
    </row>
    <row r="23">
      <c r="A23" s="4" t="inlineStr">
        <is>
          <t>Maple Run MHP</t>
        </is>
      </c>
      <c r="B23" s="4">
        <f>COUNTIF(Detail!$B$2:$B$88,$A23)</f>
        <v/>
      </c>
      <c r="C23" s="4">
        <f>COUNTIFS(Detail!$B$2:$B$88,$A23,Detail!$E$2:$E$88,"Casualty (metered pre-FW)")</f>
        <v/>
      </c>
      <c r="D23" s="4">
        <f>COUNTIFS(Detail!$B$2:$B$88,$A23,Detail!$E$2:$E$88,"No Water flagged")</f>
        <v/>
      </c>
      <c r="E23" s="4">
        <f>COUNTIFS(Detail!$B$2:$B$88,$A23,Detail!$E$2:$E$88,"Pre-existing dead (never metered)")</f>
        <v/>
      </c>
      <c r="F23" s="4">
        <f>COUNTIFS(Detail!$B$2:$B$88,$A23,Detail!$E$2:$E$88,"Pulled meter (OLD/REMOVED tag)")</f>
        <v/>
      </c>
      <c r="G23" s="4">
        <f>COUNTIFS(Detail!$B$2:$B$88,$A23,Detail!$E$2:$E$88,"Unclassified")</f>
        <v/>
      </c>
      <c r="H23" s="4">
        <f>COUNTIFS(Detail!$B$2:$B$88,$A23,Detail!$D$2:$D$88,"Failed Cal")</f>
        <v/>
      </c>
      <c r="I23" s="4">
        <f>COUNTIFS(Detail!$B$2:$B$88,$A23,Detail!$D$2:$D$88,"Calibrating")</f>
        <v/>
      </c>
      <c r="J23" s="4">
        <f>COUNTIFS(Detail!$B$2:$B$88,$A23,Detail!$D$2:$D$88,"TI Silent")</f>
        <v/>
      </c>
      <c r="K23" s="4">
        <f>COUNTIFS(Detail!$B$2:$B$88,$A23,Detail!$J$2:$J$88,"Y")</f>
        <v/>
      </c>
    </row>
    <row r="24">
      <c r="A24" s="4" t="inlineStr">
        <is>
          <t>Mountaineer Village MHC</t>
        </is>
      </c>
      <c r="B24" s="4">
        <f>COUNTIF(Detail!$B$2:$B$88,$A24)</f>
        <v/>
      </c>
      <c r="C24" s="4">
        <f>COUNTIFS(Detail!$B$2:$B$88,$A24,Detail!$E$2:$E$88,"Casualty (metered pre-FW)")</f>
        <v/>
      </c>
      <c r="D24" s="4">
        <f>COUNTIFS(Detail!$B$2:$B$88,$A24,Detail!$E$2:$E$88,"No Water flagged")</f>
        <v/>
      </c>
      <c r="E24" s="4">
        <f>COUNTIFS(Detail!$B$2:$B$88,$A24,Detail!$E$2:$E$88,"Pre-existing dead (never metered)")</f>
        <v/>
      </c>
      <c r="F24" s="4">
        <f>COUNTIFS(Detail!$B$2:$B$88,$A24,Detail!$E$2:$E$88,"Pulled meter (OLD/REMOVED tag)")</f>
        <v/>
      </c>
      <c r="G24" s="4">
        <f>COUNTIFS(Detail!$B$2:$B$88,$A24,Detail!$E$2:$E$88,"Unclassified")</f>
        <v/>
      </c>
      <c r="H24" s="4">
        <f>COUNTIFS(Detail!$B$2:$B$88,$A24,Detail!$D$2:$D$88,"Failed Cal")</f>
        <v/>
      </c>
      <c r="I24" s="4">
        <f>COUNTIFS(Detail!$B$2:$B$88,$A24,Detail!$D$2:$D$88,"Calibrating")</f>
        <v/>
      </c>
      <c r="J24" s="4">
        <f>COUNTIFS(Detail!$B$2:$B$88,$A24,Detail!$D$2:$D$88,"TI Silent")</f>
        <v/>
      </c>
      <c r="K24" s="4">
        <f>COUNTIFS(Detail!$B$2:$B$88,$A24,Detail!$J$2:$J$88,"Y")</f>
        <v/>
      </c>
    </row>
    <row r="25">
      <c r="A25" s="4" t="inlineStr">
        <is>
          <t>Oak Forest Estate MHC</t>
        </is>
      </c>
      <c r="B25" s="4">
        <f>COUNTIF(Detail!$B$2:$B$88,$A25)</f>
        <v/>
      </c>
      <c r="C25" s="4">
        <f>COUNTIFS(Detail!$B$2:$B$88,$A25,Detail!$E$2:$E$88,"Casualty (metered pre-FW)")</f>
        <v/>
      </c>
      <c r="D25" s="4">
        <f>COUNTIFS(Detail!$B$2:$B$88,$A25,Detail!$E$2:$E$88,"No Water flagged")</f>
        <v/>
      </c>
      <c r="E25" s="4">
        <f>COUNTIFS(Detail!$B$2:$B$88,$A25,Detail!$E$2:$E$88,"Pre-existing dead (never metered)")</f>
        <v/>
      </c>
      <c r="F25" s="4">
        <f>COUNTIFS(Detail!$B$2:$B$88,$A25,Detail!$E$2:$E$88,"Pulled meter (OLD/REMOVED tag)")</f>
        <v/>
      </c>
      <c r="G25" s="4">
        <f>COUNTIFS(Detail!$B$2:$B$88,$A25,Detail!$E$2:$E$88,"Unclassified")</f>
        <v/>
      </c>
      <c r="H25" s="4">
        <f>COUNTIFS(Detail!$B$2:$B$88,$A25,Detail!$D$2:$D$88,"Failed Cal")</f>
        <v/>
      </c>
      <c r="I25" s="4">
        <f>COUNTIFS(Detail!$B$2:$B$88,$A25,Detail!$D$2:$D$88,"Calibrating")</f>
        <v/>
      </c>
      <c r="J25" s="4">
        <f>COUNTIFS(Detail!$B$2:$B$88,$A25,Detail!$D$2:$D$88,"TI Silent")</f>
        <v/>
      </c>
      <c r="K25" s="4">
        <f>COUNTIFS(Detail!$B$2:$B$88,$A25,Detail!$J$2:$J$88,"Y")</f>
        <v/>
      </c>
    </row>
    <row r="26">
      <c r="A26" s="4" t="inlineStr">
        <is>
          <t>PW2</t>
        </is>
      </c>
      <c r="B26" s="4">
        <f>COUNTIF(Detail!$B$2:$B$88,$A26)</f>
        <v/>
      </c>
      <c r="C26" s="4">
        <f>COUNTIFS(Detail!$B$2:$B$88,$A26,Detail!$E$2:$E$88,"Casualty (metered pre-FW)")</f>
        <v/>
      </c>
      <c r="D26" s="4">
        <f>COUNTIFS(Detail!$B$2:$B$88,$A26,Detail!$E$2:$E$88,"No Water flagged")</f>
        <v/>
      </c>
      <c r="E26" s="4">
        <f>COUNTIFS(Detail!$B$2:$B$88,$A26,Detail!$E$2:$E$88,"Pre-existing dead (never metered)")</f>
        <v/>
      </c>
      <c r="F26" s="4">
        <f>COUNTIFS(Detail!$B$2:$B$88,$A26,Detail!$E$2:$E$88,"Pulled meter (OLD/REMOVED tag)")</f>
        <v/>
      </c>
      <c r="G26" s="4">
        <f>COUNTIFS(Detail!$B$2:$B$88,$A26,Detail!$E$2:$E$88,"Unclassified")</f>
        <v/>
      </c>
      <c r="H26" s="4">
        <f>COUNTIFS(Detail!$B$2:$B$88,$A26,Detail!$D$2:$D$88,"Failed Cal")</f>
        <v/>
      </c>
      <c r="I26" s="4">
        <f>COUNTIFS(Detail!$B$2:$B$88,$A26,Detail!$D$2:$D$88,"Calibrating")</f>
        <v/>
      </c>
      <c r="J26" s="4">
        <f>COUNTIFS(Detail!$B$2:$B$88,$A26,Detail!$D$2:$D$88,"TI Silent")</f>
        <v/>
      </c>
      <c r="K26" s="4">
        <f>COUNTIFS(Detail!$B$2:$B$88,$A26,Detail!$J$2:$J$88,"Y")</f>
        <v/>
      </c>
    </row>
    <row r="27">
      <c r="A27" s="4" t="inlineStr">
        <is>
          <t>Paola MHC</t>
        </is>
      </c>
      <c r="B27" s="4">
        <f>COUNTIF(Detail!$B$2:$B$88,$A27)</f>
        <v/>
      </c>
      <c r="C27" s="4">
        <f>COUNTIFS(Detail!$B$2:$B$88,$A27,Detail!$E$2:$E$88,"Casualty (metered pre-FW)")</f>
        <v/>
      </c>
      <c r="D27" s="4">
        <f>COUNTIFS(Detail!$B$2:$B$88,$A27,Detail!$E$2:$E$88,"No Water flagged")</f>
        <v/>
      </c>
      <c r="E27" s="4">
        <f>COUNTIFS(Detail!$B$2:$B$88,$A27,Detail!$E$2:$E$88,"Pre-existing dead (never metered)")</f>
        <v/>
      </c>
      <c r="F27" s="4">
        <f>COUNTIFS(Detail!$B$2:$B$88,$A27,Detail!$E$2:$E$88,"Pulled meter (OLD/REMOVED tag)")</f>
        <v/>
      </c>
      <c r="G27" s="4">
        <f>COUNTIFS(Detail!$B$2:$B$88,$A27,Detail!$E$2:$E$88,"Unclassified")</f>
        <v/>
      </c>
      <c r="H27" s="4">
        <f>COUNTIFS(Detail!$B$2:$B$88,$A27,Detail!$D$2:$D$88,"Failed Cal")</f>
        <v/>
      </c>
      <c r="I27" s="4">
        <f>COUNTIFS(Detail!$B$2:$B$88,$A27,Detail!$D$2:$D$88,"Calibrating")</f>
        <v/>
      </c>
      <c r="J27" s="4">
        <f>COUNTIFS(Detail!$B$2:$B$88,$A27,Detail!$D$2:$D$88,"TI Silent")</f>
        <v/>
      </c>
      <c r="K27" s="4">
        <f>COUNTIFS(Detail!$B$2:$B$88,$A27,Detail!$J$2:$J$88,"Y")</f>
        <v/>
      </c>
    </row>
    <row r="28">
      <c r="A28" s="4" t="inlineStr">
        <is>
          <t>Parker MHC</t>
        </is>
      </c>
      <c r="B28" s="4">
        <f>COUNTIF(Detail!$B$2:$B$88,$A28)</f>
        <v/>
      </c>
      <c r="C28" s="4">
        <f>COUNTIFS(Detail!$B$2:$B$88,$A28,Detail!$E$2:$E$88,"Casualty (metered pre-FW)")</f>
        <v/>
      </c>
      <c r="D28" s="4">
        <f>COUNTIFS(Detail!$B$2:$B$88,$A28,Detail!$E$2:$E$88,"No Water flagged")</f>
        <v/>
      </c>
      <c r="E28" s="4">
        <f>COUNTIFS(Detail!$B$2:$B$88,$A28,Detail!$E$2:$E$88,"Pre-existing dead (never metered)")</f>
        <v/>
      </c>
      <c r="F28" s="4">
        <f>COUNTIFS(Detail!$B$2:$B$88,$A28,Detail!$E$2:$E$88,"Pulled meter (OLD/REMOVED tag)")</f>
        <v/>
      </c>
      <c r="G28" s="4">
        <f>COUNTIFS(Detail!$B$2:$B$88,$A28,Detail!$E$2:$E$88,"Unclassified")</f>
        <v/>
      </c>
      <c r="H28" s="4">
        <f>COUNTIFS(Detail!$B$2:$B$88,$A28,Detail!$D$2:$D$88,"Failed Cal")</f>
        <v/>
      </c>
      <c r="I28" s="4">
        <f>COUNTIFS(Detail!$B$2:$B$88,$A28,Detail!$D$2:$D$88,"Calibrating")</f>
        <v/>
      </c>
      <c r="J28" s="4">
        <f>COUNTIFS(Detail!$B$2:$B$88,$A28,Detail!$D$2:$D$88,"TI Silent")</f>
        <v/>
      </c>
      <c r="K28" s="4">
        <f>COUNTIFS(Detail!$B$2:$B$88,$A28,Detail!$J$2:$J$88,"Y")</f>
        <v/>
      </c>
    </row>
    <row r="29">
      <c r="A29" s="4" t="inlineStr">
        <is>
          <t>Parkview MHP</t>
        </is>
      </c>
      <c r="B29" s="4">
        <f>COUNTIF(Detail!$B$2:$B$88,$A29)</f>
        <v/>
      </c>
      <c r="C29" s="4">
        <f>COUNTIFS(Detail!$B$2:$B$88,$A29,Detail!$E$2:$E$88,"Casualty (metered pre-FW)")</f>
        <v/>
      </c>
      <c r="D29" s="4">
        <f>COUNTIFS(Detail!$B$2:$B$88,$A29,Detail!$E$2:$E$88,"No Water flagged")</f>
        <v/>
      </c>
      <c r="E29" s="4">
        <f>COUNTIFS(Detail!$B$2:$B$88,$A29,Detail!$E$2:$E$88,"Pre-existing dead (never metered)")</f>
        <v/>
      </c>
      <c r="F29" s="4">
        <f>COUNTIFS(Detail!$B$2:$B$88,$A29,Detail!$E$2:$E$88,"Pulled meter (OLD/REMOVED tag)")</f>
        <v/>
      </c>
      <c r="G29" s="4">
        <f>COUNTIFS(Detail!$B$2:$B$88,$A29,Detail!$E$2:$E$88,"Unclassified")</f>
        <v/>
      </c>
      <c r="H29" s="4">
        <f>COUNTIFS(Detail!$B$2:$B$88,$A29,Detail!$D$2:$D$88,"Failed Cal")</f>
        <v/>
      </c>
      <c r="I29" s="4">
        <f>COUNTIFS(Detail!$B$2:$B$88,$A29,Detail!$D$2:$D$88,"Calibrating")</f>
        <v/>
      </c>
      <c r="J29" s="4">
        <f>COUNTIFS(Detail!$B$2:$B$88,$A29,Detail!$D$2:$D$88,"TI Silent")</f>
        <v/>
      </c>
      <c r="K29" s="4">
        <f>COUNTIFS(Detail!$B$2:$B$88,$A29,Detail!$J$2:$J$88,"Y")</f>
        <v/>
      </c>
    </row>
    <row r="30">
      <c r="A30" s="4" t="inlineStr">
        <is>
          <t>Pleasant Acres</t>
        </is>
      </c>
      <c r="B30" s="4">
        <f>COUNTIF(Detail!$B$2:$B$88,$A30)</f>
        <v/>
      </c>
      <c r="C30" s="4">
        <f>COUNTIFS(Detail!$B$2:$B$88,$A30,Detail!$E$2:$E$88,"Casualty (metered pre-FW)")</f>
        <v/>
      </c>
      <c r="D30" s="4">
        <f>COUNTIFS(Detail!$B$2:$B$88,$A30,Detail!$E$2:$E$88,"No Water flagged")</f>
        <v/>
      </c>
      <c r="E30" s="4">
        <f>COUNTIFS(Detail!$B$2:$B$88,$A30,Detail!$E$2:$E$88,"Pre-existing dead (never metered)")</f>
        <v/>
      </c>
      <c r="F30" s="4">
        <f>COUNTIFS(Detail!$B$2:$B$88,$A30,Detail!$E$2:$E$88,"Pulled meter (OLD/REMOVED tag)")</f>
        <v/>
      </c>
      <c r="G30" s="4">
        <f>COUNTIFS(Detail!$B$2:$B$88,$A30,Detail!$E$2:$E$88,"Unclassified")</f>
        <v/>
      </c>
      <c r="H30" s="4">
        <f>COUNTIFS(Detail!$B$2:$B$88,$A30,Detail!$D$2:$D$88,"Failed Cal")</f>
        <v/>
      </c>
      <c r="I30" s="4">
        <f>COUNTIFS(Detail!$B$2:$B$88,$A30,Detail!$D$2:$D$88,"Calibrating")</f>
        <v/>
      </c>
      <c r="J30" s="4">
        <f>COUNTIFS(Detail!$B$2:$B$88,$A30,Detail!$D$2:$D$88,"TI Silent")</f>
        <v/>
      </c>
      <c r="K30" s="4">
        <f>COUNTIFS(Detail!$B$2:$B$88,$A30,Detail!$J$2:$J$88,"Y")</f>
        <v/>
      </c>
    </row>
    <row r="31">
      <c r="A31" s="4" t="inlineStr">
        <is>
          <t>River Bend</t>
        </is>
      </c>
      <c r="B31" s="4">
        <f>COUNTIF(Detail!$B$2:$B$88,$A31)</f>
        <v/>
      </c>
      <c r="C31" s="4">
        <f>COUNTIFS(Detail!$B$2:$B$88,$A31,Detail!$E$2:$E$88,"Casualty (metered pre-FW)")</f>
        <v/>
      </c>
      <c r="D31" s="4">
        <f>COUNTIFS(Detail!$B$2:$B$88,$A31,Detail!$E$2:$E$88,"No Water flagged")</f>
        <v/>
      </c>
      <c r="E31" s="4">
        <f>COUNTIFS(Detail!$B$2:$B$88,$A31,Detail!$E$2:$E$88,"Pre-existing dead (never metered)")</f>
        <v/>
      </c>
      <c r="F31" s="4">
        <f>COUNTIFS(Detail!$B$2:$B$88,$A31,Detail!$E$2:$E$88,"Pulled meter (OLD/REMOVED tag)")</f>
        <v/>
      </c>
      <c r="G31" s="4">
        <f>COUNTIFS(Detail!$B$2:$B$88,$A31,Detail!$E$2:$E$88,"Unclassified")</f>
        <v/>
      </c>
      <c r="H31" s="4">
        <f>COUNTIFS(Detail!$B$2:$B$88,$A31,Detail!$D$2:$D$88,"Failed Cal")</f>
        <v/>
      </c>
      <c r="I31" s="4">
        <f>COUNTIFS(Detail!$B$2:$B$88,$A31,Detail!$D$2:$D$88,"Calibrating")</f>
        <v/>
      </c>
      <c r="J31" s="4">
        <f>COUNTIFS(Detail!$B$2:$B$88,$A31,Detail!$D$2:$D$88,"TI Silent")</f>
        <v/>
      </c>
      <c r="K31" s="4">
        <f>COUNTIFS(Detail!$B$2:$B$88,$A31,Detail!$J$2:$J$88,"Y")</f>
        <v/>
      </c>
    </row>
    <row r="32">
      <c r="A32" s="4" t="inlineStr">
        <is>
          <t>Roosevelt MHC</t>
        </is>
      </c>
      <c r="B32" s="4">
        <f>COUNTIF(Detail!$B$2:$B$88,$A32)</f>
        <v/>
      </c>
      <c r="C32" s="4">
        <f>COUNTIFS(Detail!$B$2:$B$88,$A32,Detail!$E$2:$E$88,"Casualty (metered pre-FW)")</f>
        <v/>
      </c>
      <c r="D32" s="4">
        <f>COUNTIFS(Detail!$B$2:$B$88,$A32,Detail!$E$2:$E$88,"No Water flagged")</f>
        <v/>
      </c>
      <c r="E32" s="4">
        <f>COUNTIFS(Detail!$B$2:$B$88,$A32,Detail!$E$2:$E$88,"Pre-existing dead (never metered)")</f>
        <v/>
      </c>
      <c r="F32" s="4">
        <f>COUNTIFS(Detail!$B$2:$B$88,$A32,Detail!$E$2:$E$88,"Pulled meter (OLD/REMOVED tag)")</f>
        <v/>
      </c>
      <c r="G32" s="4">
        <f>COUNTIFS(Detail!$B$2:$B$88,$A32,Detail!$E$2:$E$88,"Unclassified")</f>
        <v/>
      </c>
      <c r="H32" s="4">
        <f>COUNTIFS(Detail!$B$2:$B$88,$A32,Detail!$D$2:$D$88,"Failed Cal")</f>
        <v/>
      </c>
      <c r="I32" s="4">
        <f>COUNTIFS(Detail!$B$2:$B$88,$A32,Detail!$D$2:$D$88,"Calibrating")</f>
        <v/>
      </c>
      <c r="J32" s="4">
        <f>COUNTIFS(Detail!$B$2:$B$88,$A32,Detail!$D$2:$D$88,"TI Silent")</f>
        <v/>
      </c>
      <c r="K32" s="4">
        <f>COUNTIFS(Detail!$B$2:$B$88,$A32,Detail!$J$2:$J$88,"Y")</f>
        <v/>
      </c>
    </row>
    <row r="33">
      <c r="A33" s="4" t="inlineStr">
        <is>
          <t>Rustic Acres MHC</t>
        </is>
      </c>
      <c r="B33" s="4">
        <f>COUNTIF(Detail!$B$2:$B$88,$A33)</f>
        <v/>
      </c>
      <c r="C33" s="4">
        <f>COUNTIFS(Detail!$B$2:$B$88,$A33,Detail!$E$2:$E$88,"Casualty (metered pre-FW)")</f>
        <v/>
      </c>
      <c r="D33" s="4">
        <f>COUNTIFS(Detail!$B$2:$B$88,$A33,Detail!$E$2:$E$88,"No Water flagged")</f>
        <v/>
      </c>
      <c r="E33" s="4">
        <f>COUNTIFS(Detail!$B$2:$B$88,$A33,Detail!$E$2:$E$88,"Pre-existing dead (never metered)")</f>
        <v/>
      </c>
      <c r="F33" s="4">
        <f>COUNTIFS(Detail!$B$2:$B$88,$A33,Detail!$E$2:$E$88,"Pulled meter (OLD/REMOVED tag)")</f>
        <v/>
      </c>
      <c r="G33" s="4">
        <f>COUNTIFS(Detail!$B$2:$B$88,$A33,Detail!$E$2:$E$88,"Unclassified")</f>
        <v/>
      </c>
      <c r="H33" s="4">
        <f>COUNTIFS(Detail!$B$2:$B$88,$A33,Detail!$D$2:$D$88,"Failed Cal")</f>
        <v/>
      </c>
      <c r="I33" s="4">
        <f>COUNTIFS(Detail!$B$2:$B$88,$A33,Detail!$D$2:$D$88,"Calibrating")</f>
        <v/>
      </c>
      <c r="J33" s="4">
        <f>COUNTIFS(Detail!$B$2:$B$88,$A33,Detail!$D$2:$D$88,"TI Silent")</f>
        <v/>
      </c>
      <c r="K33" s="4">
        <f>COUNTIFS(Detail!$B$2:$B$88,$A33,Detail!$J$2:$J$88,"Y")</f>
        <v/>
      </c>
    </row>
    <row r="34">
      <c r="A34" s="4" t="inlineStr">
        <is>
          <t>Shady Lane MHP</t>
        </is>
      </c>
      <c r="B34" s="4">
        <f>COUNTIF(Detail!$B$2:$B$88,$A34)</f>
        <v/>
      </c>
      <c r="C34" s="4">
        <f>COUNTIFS(Detail!$B$2:$B$88,$A34,Detail!$E$2:$E$88,"Casualty (metered pre-FW)")</f>
        <v/>
      </c>
      <c r="D34" s="4">
        <f>COUNTIFS(Detail!$B$2:$B$88,$A34,Detail!$E$2:$E$88,"No Water flagged")</f>
        <v/>
      </c>
      <c r="E34" s="4">
        <f>COUNTIFS(Detail!$B$2:$B$88,$A34,Detail!$E$2:$E$88,"Pre-existing dead (never metered)")</f>
        <v/>
      </c>
      <c r="F34" s="4">
        <f>COUNTIFS(Detail!$B$2:$B$88,$A34,Detail!$E$2:$E$88,"Pulled meter (OLD/REMOVED tag)")</f>
        <v/>
      </c>
      <c r="G34" s="4">
        <f>COUNTIFS(Detail!$B$2:$B$88,$A34,Detail!$E$2:$E$88,"Unclassified")</f>
        <v/>
      </c>
      <c r="H34" s="4">
        <f>COUNTIFS(Detail!$B$2:$B$88,$A34,Detail!$D$2:$D$88,"Failed Cal")</f>
        <v/>
      </c>
      <c r="I34" s="4">
        <f>COUNTIFS(Detail!$B$2:$B$88,$A34,Detail!$D$2:$D$88,"Calibrating")</f>
        <v/>
      </c>
      <c r="J34" s="4">
        <f>COUNTIFS(Detail!$B$2:$B$88,$A34,Detail!$D$2:$D$88,"TI Silent")</f>
        <v/>
      </c>
      <c r="K34" s="4">
        <f>COUNTIFS(Detail!$B$2:$B$88,$A34,Detail!$J$2:$J$88,"Y")</f>
        <v/>
      </c>
    </row>
    <row r="35">
      <c r="A35" s="4" t="inlineStr">
        <is>
          <t>Tuttle Estates MHC</t>
        </is>
      </c>
      <c r="B35" s="4">
        <f>COUNTIF(Detail!$B$2:$B$88,$A35)</f>
        <v/>
      </c>
      <c r="C35" s="4">
        <f>COUNTIFS(Detail!$B$2:$B$88,$A35,Detail!$E$2:$E$88,"Casualty (metered pre-FW)")</f>
        <v/>
      </c>
      <c r="D35" s="4">
        <f>COUNTIFS(Detail!$B$2:$B$88,$A35,Detail!$E$2:$E$88,"No Water flagged")</f>
        <v/>
      </c>
      <c r="E35" s="4">
        <f>COUNTIFS(Detail!$B$2:$B$88,$A35,Detail!$E$2:$E$88,"Pre-existing dead (never metered)")</f>
        <v/>
      </c>
      <c r="F35" s="4">
        <f>COUNTIFS(Detail!$B$2:$B$88,$A35,Detail!$E$2:$E$88,"Pulled meter (OLD/REMOVED tag)")</f>
        <v/>
      </c>
      <c r="G35" s="4">
        <f>COUNTIFS(Detail!$B$2:$B$88,$A35,Detail!$E$2:$E$88,"Unclassified")</f>
        <v/>
      </c>
      <c r="H35" s="4">
        <f>COUNTIFS(Detail!$B$2:$B$88,$A35,Detail!$D$2:$D$88,"Failed Cal")</f>
        <v/>
      </c>
      <c r="I35" s="4">
        <f>COUNTIFS(Detail!$B$2:$B$88,$A35,Detail!$D$2:$D$88,"Calibrating")</f>
        <v/>
      </c>
      <c r="J35" s="4">
        <f>COUNTIFS(Detail!$B$2:$B$88,$A35,Detail!$D$2:$D$88,"TI Silent")</f>
        <v/>
      </c>
      <c r="K35" s="4">
        <f>COUNTIFS(Detail!$B$2:$B$88,$A35,Detail!$J$2:$J$88,"Y")</f>
        <v/>
      </c>
    </row>
    <row r="36">
      <c r="A36" s="4" t="inlineStr">
        <is>
          <t>Virginia Beach</t>
        </is>
      </c>
      <c r="B36" s="4">
        <f>COUNTIF(Detail!$B$2:$B$88,$A36)</f>
        <v/>
      </c>
      <c r="C36" s="4">
        <f>COUNTIFS(Detail!$B$2:$B$88,$A36,Detail!$E$2:$E$88,"Casualty (metered pre-FW)")</f>
        <v/>
      </c>
      <c r="D36" s="4">
        <f>COUNTIFS(Detail!$B$2:$B$88,$A36,Detail!$E$2:$E$88,"No Water flagged")</f>
        <v/>
      </c>
      <c r="E36" s="4">
        <f>COUNTIFS(Detail!$B$2:$B$88,$A36,Detail!$E$2:$E$88,"Pre-existing dead (never metered)")</f>
        <v/>
      </c>
      <c r="F36" s="4">
        <f>COUNTIFS(Detail!$B$2:$B$88,$A36,Detail!$E$2:$E$88,"Pulled meter (OLD/REMOVED tag)")</f>
        <v/>
      </c>
      <c r="G36" s="4">
        <f>COUNTIFS(Detail!$B$2:$B$88,$A36,Detail!$E$2:$E$88,"Unclassified")</f>
        <v/>
      </c>
      <c r="H36" s="4">
        <f>COUNTIFS(Detail!$B$2:$B$88,$A36,Detail!$D$2:$D$88,"Failed Cal")</f>
        <v/>
      </c>
      <c r="I36" s="4">
        <f>COUNTIFS(Detail!$B$2:$B$88,$A36,Detail!$D$2:$D$88,"Calibrating")</f>
        <v/>
      </c>
      <c r="J36" s="4">
        <f>COUNTIFS(Detail!$B$2:$B$88,$A36,Detail!$D$2:$D$88,"TI Silent")</f>
        <v/>
      </c>
      <c r="K36" s="4">
        <f>COUNTIFS(Detail!$B$2:$B$88,$A36,Detail!$J$2:$J$88,"Y")</f>
        <v/>
      </c>
    </row>
    <row r="37">
      <c r="A37" s="5" t="inlineStr">
        <is>
          <t>TOTAL</t>
        </is>
      </c>
      <c r="B37" s="5">
        <f>SUM(B5:B36)</f>
        <v/>
      </c>
      <c r="C37" s="5">
        <f>SUM(C5:C36)</f>
        <v/>
      </c>
      <c r="D37" s="5">
        <f>SUM(D5:D36)</f>
        <v/>
      </c>
      <c r="E37" s="5">
        <f>SUM(E5:E36)</f>
        <v/>
      </c>
      <c r="F37" s="5">
        <f>SUM(F5:F36)</f>
        <v/>
      </c>
      <c r="G37" s="5">
        <f>SUM(G5:G36)</f>
        <v/>
      </c>
      <c r="H37" s="5">
        <f>SUM(H5:H36)</f>
        <v/>
      </c>
      <c r="I37" s="5">
        <f>SUM(I5:I36)</f>
        <v/>
      </c>
      <c r="J37" s="5">
        <f>SUM(J5:J36)</f>
        <v/>
      </c>
      <c r="K37" s="5">
        <f>SUM(K5:K36)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0" customWidth="1" min="3" max="3"/>
    <col width="12" customWidth="1" min="4" max="4"/>
    <col width="32" customWidth="1" min="5" max="5"/>
    <col width="9" customWidth="1" min="6" max="6"/>
    <col width="6" customWidth="1" min="7" max="7"/>
    <col width="9" customWidth="1" min="8" max="8"/>
    <col width="9" customWidth="1" min="9" max="9"/>
    <col width="8" customWidth="1" min="10" max="10"/>
    <col width="11" customWidth="1" min="11" max="11"/>
  </cols>
  <sheetData>
    <row r="1">
      <c r="A1" s="6" t="inlineStr">
        <is>
          <t>Device ID</t>
        </is>
      </c>
      <c r="B1" s="6" t="inlineStr">
        <is>
          <t>Property</t>
        </is>
      </c>
      <c r="C1" s="6" t="inlineStr">
        <is>
          <t>Apartment</t>
        </is>
      </c>
      <c r="D1" s="6" t="inlineStr">
        <is>
          <t>State</t>
        </is>
      </c>
      <c r="E1" s="6" t="inlineStr">
        <is>
          <t>Category</t>
        </is>
      </c>
      <c r="F1" s="6" t="inlineStr">
        <is>
          <t>No Water</t>
        </is>
      </c>
      <c r="G1" s="6" t="inlineStr">
        <is>
          <t>Gain</t>
        </is>
      </c>
      <c r="H1" s="6" t="inlineStr">
        <is>
          <t>Pipe Type</t>
        </is>
      </c>
      <c r="I1" s="6" t="inlineStr">
        <is>
          <t>Pipe Size</t>
        </is>
      </c>
      <c r="J1" s="6" t="inlineStr">
        <is>
          <t>HW Flag</t>
        </is>
      </c>
      <c r="K1" s="6" t="inlineStr">
        <is>
          <t>spiInitFail</t>
        </is>
      </c>
    </row>
    <row r="2">
      <c r="A2" s="4" t="inlineStr">
        <is>
          <t>79466692</t>
        </is>
      </c>
      <c r="B2" s="4" t="inlineStr">
        <is>
          <t>Auburn MHC</t>
        </is>
      </c>
      <c r="C2" s="4" t="inlineStr">
        <is>
          <t>3</t>
        </is>
      </c>
      <c r="D2" s="4" t="inlineStr">
        <is>
          <t>Failed Cal</t>
        </is>
      </c>
      <c r="E2" s="4" t="inlineStr">
        <is>
          <t>Pre-existing dead (never metered)</t>
        </is>
      </c>
      <c r="F2" s="4" t="inlineStr">
        <is>
          <t>false</t>
        </is>
      </c>
      <c r="G2" s="4" t="inlineStr">
        <is>
          <t>55</t>
        </is>
      </c>
      <c r="H2" s="4" t="inlineStr">
        <is>
          <t>L</t>
        </is>
      </c>
      <c r="I2" s="4" t="inlineStr">
        <is>
          <t>½</t>
        </is>
      </c>
      <c r="J2" s="4" t="inlineStr"/>
      <c r="K2" s="4" t="inlineStr">
        <is>
          <t>0</t>
        </is>
      </c>
    </row>
    <row r="3">
      <c r="A3" s="4" t="inlineStr">
        <is>
          <t>70261761</t>
        </is>
      </c>
      <c r="B3" s="4" t="inlineStr">
        <is>
          <t>Aurora MHC</t>
        </is>
      </c>
      <c r="C3" s="4" t="inlineStr">
        <is>
          <t>159</t>
        </is>
      </c>
      <c r="D3" s="4" t="inlineStr">
        <is>
          <t>Failed Cal</t>
        </is>
      </c>
      <c r="E3" s="4" t="inlineStr">
        <is>
          <t>Casualty (metered pre-FW)</t>
        </is>
      </c>
      <c r="F3" s="4" t="inlineStr">
        <is>
          <t>false</t>
        </is>
      </c>
      <c r="G3" s="4" t="inlineStr">
        <is>
          <t>41</t>
        </is>
      </c>
      <c r="H3" s="4" t="inlineStr">
        <is>
          <t>M</t>
        </is>
      </c>
      <c r="I3" s="4" t="inlineStr">
        <is>
          <t>½</t>
        </is>
      </c>
      <c r="J3" s="4" t="inlineStr"/>
      <c r="K3" s="4" t="inlineStr">
        <is>
          <t>0</t>
        </is>
      </c>
    </row>
    <row r="4">
      <c r="A4" s="4" t="inlineStr">
        <is>
          <t>77057885</t>
        </is>
      </c>
      <c r="B4" s="4" t="inlineStr">
        <is>
          <t>Aurora MHC</t>
        </is>
      </c>
      <c r="C4" s="4" t="inlineStr">
        <is>
          <t>33</t>
        </is>
      </c>
      <c r="D4" s="4" t="inlineStr">
        <is>
          <t>Failed Cal</t>
        </is>
      </c>
      <c r="E4" s="4" t="inlineStr">
        <is>
          <t>Casualty (metered pre-FW)</t>
        </is>
      </c>
      <c r="F4" s="4" t="inlineStr">
        <is>
          <t>false</t>
        </is>
      </c>
      <c r="G4" s="4" t="inlineStr">
        <is>
          <t>55</t>
        </is>
      </c>
      <c r="H4" s="4" t="inlineStr">
        <is>
          <t>X</t>
        </is>
      </c>
      <c r="I4" s="4" t="inlineStr">
        <is>
          <t>½</t>
        </is>
      </c>
      <c r="J4" s="4" t="inlineStr"/>
      <c r="K4" s="4" t="inlineStr">
        <is>
          <t>0</t>
        </is>
      </c>
    </row>
    <row r="5">
      <c r="A5" s="4" t="inlineStr">
        <is>
          <t>72717897</t>
        </is>
      </c>
      <c r="B5" s="4" t="inlineStr">
        <is>
          <t>Azulejo</t>
        </is>
      </c>
      <c r="C5" s="4" t="inlineStr">
        <is>
          <t>1502</t>
        </is>
      </c>
      <c r="D5" s="4" t="inlineStr">
        <is>
          <t>Metering</t>
        </is>
      </c>
      <c r="E5" s="4" t="inlineStr">
        <is>
          <t>Casualty (metered pre-FW)</t>
        </is>
      </c>
      <c r="F5" s="4" t="inlineStr">
        <is>
          <t>false</t>
        </is>
      </c>
      <c r="G5" s="4" t="inlineStr">
        <is>
          <t>32</t>
        </is>
      </c>
      <c r="H5" s="4" t="inlineStr">
        <is>
          <t>X</t>
        </is>
      </c>
      <c r="I5" s="4" t="inlineStr">
        <is>
          <t>¾</t>
        </is>
      </c>
      <c r="J5" s="4" t="inlineStr">
        <is>
          <t>Y</t>
        </is>
      </c>
      <c r="K5" s="4" t="inlineStr">
        <is>
          <t>5819</t>
        </is>
      </c>
    </row>
    <row r="6">
      <c r="A6" s="4" t="inlineStr">
        <is>
          <t>75367704</t>
        </is>
      </c>
      <c r="B6" s="4" t="inlineStr">
        <is>
          <t>Broadway MHP DesMoines</t>
        </is>
      </c>
      <c r="C6" s="4" t="inlineStr">
        <is>
          <t>4</t>
        </is>
      </c>
      <c r="D6" s="4" t="inlineStr">
        <is>
          <t>Failed Cal</t>
        </is>
      </c>
      <c r="E6" s="4" t="inlineStr">
        <is>
          <t>Casualty (metered pre-FW)</t>
        </is>
      </c>
      <c r="F6" s="4" t="inlineStr">
        <is>
          <t>false</t>
        </is>
      </c>
      <c r="G6" s="4" t="inlineStr">
        <is>
          <t>26</t>
        </is>
      </c>
      <c r="H6" s="4" t="inlineStr">
        <is>
          <t>X</t>
        </is>
      </c>
      <c r="I6" s="4" t="inlineStr">
        <is>
          <t>½</t>
        </is>
      </c>
      <c r="J6" s="4" t="inlineStr"/>
      <c r="K6" s="4" t="inlineStr">
        <is>
          <t>0</t>
        </is>
      </c>
    </row>
    <row r="7">
      <c r="A7" s="4" t="inlineStr">
        <is>
          <t>75374122</t>
        </is>
      </c>
      <c r="B7" s="4" t="inlineStr">
        <is>
          <t>CJ</t>
        </is>
      </c>
      <c r="C7" s="4" t="inlineStr">
        <is>
          <t>116</t>
        </is>
      </c>
      <c r="D7" s="4" t="inlineStr">
        <is>
          <t>TI Silent</t>
        </is>
      </c>
      <c r="E7" s="4" t="inlineStr">
        <is>
          <t>Casualty (metered pre-FW)</t>
        </is>
      </c>
      <c r="F7" s="4" t="inlineStr">
        <is>
          <t>false</t>
        </is>
      </c>
      <c r="G7" s="4" t="inlineStr">
        <is>
          <t>0</t>
        </is>
      </c>
      <c r="H7" s="4" t="inlineStr">
        <is>
          <t>L</t>
        </is>
      </c>
      <c r="I7" s="4" t="inlineStr">
        <is>
          <t>1</t>
        </is>
      </c>
      <c r="J7" s="4" t="inlineStr"/>
      <c r="K7" s="4" t="inlineStr">
        <is>
          <t>0</t>
        </is>
      </c>
    </row>
    <row r="8">
      <c r="A8" s="4" t="inlineStr">
        <is>
          <t>75362382</t>
        </is>
      </c>
      <c r="B8" s="4" t="inlineStr">
        <is>
          <t>Cactus Flower</t>
        </is>
      </c>
      <c r="C8" s="4" t="inlineStr">
        <is>
          <t>9 and Laundry</t>
        </is>
      </c>
      <c r="D8" s="4" t="inlineStr">
        <is>
          <t>Failed Cal</t>
        </is>
      </c>
      <c r="E8" s="4" t="inlineStr">
        <is>
          <t>Casualty (metered pre-FW)</t>
        </is>
      </c>
      <c r="F8" s="4" t="inlineStr">
        <is>
          <t>false</t>
        </is>
      </c>
      <c r="G8" s="4" t="inlineStr">
        <is>
          <t>55</t>
        </is>
      </c>
      <c r="H8" s="4" t="inlineStr">
        <is>
          <t>L</t>
        </is>
      </c>
      <c r="I8" s="4" t="inlineStr">
        <is>
          <t>¾</t>
        </is>
      </c>
      <c r="J8" s="4" t="inlineStr"/>
      <c r="K8" s="4" t="inlineStr">
        <is>
          <t>0</t>
        </is>
      </c>
    </row>
    <row r="9">
      <c r="A9" s="4" t="inlineStr">
        <is>
          <t>77054759</t>
        </is>
      </c>
      <c r="B9" s="4" t="inlineStr">
        <is>
          <t>Canada</t>
        </is>
      </c>
      <c r="C9" s="4" t="inlineStr">
        <is>
          <t>D1TC</t>
        </is>
      </c>
      <c r="D9" s="4" t="inlineStr">
        <is>
          <t>Failed Cal</t>
        </is>
      </c>
      <c r="E9" s="4" t="inlineStr">
        <is>
          <t>Casualty (metered pre-FW)</t>
        </is>
      </c>
      <c r="F9" s="4" t="inlineStr">
        <is>
          <t>false</t>
        </is>
      </c>
      <c r="G9" s="4" t="inlineStr">
        <is>
          <t>32</t>
        </is>
      </c>
      <c r="H9" s="4" t="inlineStr">
        <is>
          <t>X</t>
        </is>
      </c>
      <c r="I9" s="4" t="inlineStr">
        <is>
          <t>½</t>
        </is>
      </c>
      <c r="J9" s="4" t="inlineStr"/>
      <c r="K9" s="4" t="inlineStr">
        <is>
          <t>0</t>
        </is>
      </c>
    </row>
    <row r="10">
      <c r="A10" s="4" t="inlineStr">
        <is>
          <t>77061481</t>
        </is>
      </c>
      <c r="B10" s="4" t="inlineStr">
        <is>
          <t>Canada</t>
        </is>
      </c>
      <c r="C10" s="4" t="inlineStr">
        <is>
          <t>B18TC</t>
        </is>
      </c>
      <c r="D10" s="4" t="inlineStr">
        <is>
          <t>Failed Cal</t>
        </is>
      </c>
      <c r="E10" s="4" t="inlineStr">
        <is>
          <t>Casualty (metered pre-FW)</t>
        </is>
      </c>
      <c r="F10" s="4" t="inlineStr">
        <is>
          <t>false</t>
        </is>
      </c>
      <c r="G10" s="4" t="inlineStr">
        <is>
          <t>55</t>
        </is>
      </c>
      <c r="H10" s="4" t="inlineStr">
        <is>
          <t>M</t>
        </is>
      </c>
      <c r="I10" s="4" t="inlineStr">
        <is>
          <t>½</t>
        </is>
      </c>
      <c r="J10" s="4" t="inlineStr"/>
      <c r="K10" s="4" t="inlineStr">
        <is>
          <t>0</t>
        </is>
      </c>
    </row>
    <row r="11">
      <c r="A11" s="4" t="inlineStr">
        <is>
          <t>70261902</t>
        </is>
      </c>
      <c r="B11" s="4" t="inlineStr">
        <is>
          <t>Coleman Village</t>
        </is>
      </c>
      <c r="C11" s="4" t="inlineStr">
        <is>
          <t>179</t>
        </is>
      </c>
      <c r="D11" s="4" t="inlineStr">
        <is>
          <t>Failed Cal</t>
        </is>
      </c>
      <c r="E11" s="4" t="inlineStr">
        <is>
          <t>No Water flagged</t>
        </is>
      </c>
      <c r="F11" s="4" t="inlineStr">
        <is>
          <t>true</t>
        </is>
      </c>
      <c r="G11" s="4" t="inlineStr">
        <is>
          <t>55</t>
        </is>
      </c>
      <c r="H11" s="4" t="inlineStr">
        <is>
          <t>X</t>
        </is>
      </c>
      <c r="I11" s="4" t="inlineStr">
        <is>
          <t>¾</t>
        </is>
      </c>
      <c r="J11" s="4" t="inlineStr"/>
      <c r="K11" s="4" t="inlineStr">
        <is>
          <t>0</t>
        </is>
      </c>
    </row>
    <row r="12">
      <c r="A12" s="4" t="inlineStr">
        <is>
          <t>70265408</t>
        </is>
      </c>
      <c r="B12" s="4" t="inlineStr">
        <is>
          <t>Crystal Acres MHC</t>
        </is>
      </c>
      <c r="C12" s="4" t="inlineStr">
        <is>
          <t>7-OLD</t>
        </is>
      </c>
      <c r="D12" s="4" t="inlineStr">
        <is>
          <t>TI Silent</t>
        </is>
      </c>
      <c r="E12" s="4" t="inlineStr">
        <is>
          <t>Pulled meter (OLD/REMOVED tag)</t>
        </is>
      </c>
      <c r="F12" s="4" t="inlineStr">
        <is>
          <t>false</t>
        </is>
      </c>
      <c r="G12" s="4" t="inlineStr">
        <is>
          <t>0</t>
        </is>
      </c>
      <c r="H12" s="4" t="inlineStr">
        <is>
          <t>P</t>
        </is>
      </c>
      <c r="I12" s="4" t="inlineStr">
        <is>
          <t>¾</t>
        </is>
      </c>
      <c r="J12" s="4" t="inlineStr">
        <is>
          <t>Y</t>
        </is>
      </c>
      <c r="K12" s="4" t="inlineStr">
        <is>
          <t>0</t>
        </is>
      </c>
    </row>
    <row r="13">
      <c r="A13" s="4" t="inlineStr">
        <is>
          <t>72379413</t>
        </is>
      </c>
      <c r="B13" s="4" t="inlineStr">
        <is>
          <t>Crystal Acres MHC</t>
        </is>
      </c>
      <c r="C13" s="4" t="inlineStr">
        <is>
          <t>16-OLD</t>
        </is>
      </c>
      <c r="D13" s="4" t="inlineStr">
        <is>
          <t>Failed Cal</t>
        </is>
      </c>
      <c r="E13" s="4" t="inlineStr">
        <is>
          <t>Pulled meter (OLD/REMOVED tag)</t>
        </is>
      </c>
      <c r="F13" s="4" t="inlineStr">
        <is>
          <t>false</t>
        </is>
      </c>
      <c r="G13" s="4" t="inlineStr">
        <is>
          <t>55</t>
        </is>
      </c>
      <c r="H13" s="4" t="inlineStr">
        <is>
          <t>X</t>
        </is>
      </c>
      <c r="I13" s="4" t="inlineStr">
        <is>
          <t>¾</t>
        </is>
      </c>
      <c r="J13" s="4" t="inlineStr"/>
      <c r="K13" s="4" t="inlineStr">
        <is>
          <t>0</t>
        </is>
      </c>
    </row>
    <row r="14">
      <c r="A14" s="4" t="inlineStr">
        <is>
          <t>72384678</t>
        </is>
      </c>
      <c r="B14" s="4" t="inlineStr">
        <is>
          <t>Crystal Acres MHC</t>
        </is>
      </c>
      <c r="C14" s="4" t="inlineStr">
        <is>
          <t>13</t>
        </is>
      </c>
      <c r="D14" s="4" t="inlineStr">
        <is>
          <t>TI Silent</t>
        </is>
      </c>
      <c r="E14" s="4" t="inlineStr">
        <is>
          <t>Unclassified</t>
        </is>
      </c>
      <c r="F14" s="4" t="inlineStr">
        <is>
          <t>false</t>
        </is>
      </c>
      <c r="G14" s="4" t="inlineStr">
        <is>
          <t>0</t>
        </is>
      </c>
      <c r="H14" s="4" t="inlineStr">
        <is>
          <t>X</t>
        </is>
      </c>
      <c r="I14" s="4" t="inlineStr">
        <is>
          <t>¾</t>
        </is>
      </c>
      <c r="J14" s="4" t="inlineStr"/>
      <c r="K14" s="4" t="inlineStr">
        <is>
          <t>0</t>
        </is>
      </c>
    </row>
    <row r="15">
      <c r="A15" s="4" t="inlineStr">
        <is>
          <t>75360113</t>
        </is>
      </c>
      <c r="B15" s="4" t="inlineStr">
        <is>
          <t>Grand Valley Estates MHC</t>
        </is>
      </c>
      <c r="C15" s="4" t="inlineStr">
        <is>
          <t>10-SHENNADOH-DR</t>
        </is>
      </c>
      <c r="D15" s="4" t="inlineStr">
        <is>
          <t>Failed Cal</t>
        </is>
      </c>
      <c r="E15" s="4" t="inlineStr">
        <is>
          <t>No Water flagged</t>
        </is>
      </c>
      <c r="F15" s="4" t="inlineStr">
        <is>
          <t>true</t>
        </is>
      </c>
      <c r="G15" s="4" t="inlineStr">
        <is>
          <t>55</t>
        </is>
      </c>
      <c r="H15" s="4" t="inlineStr">
        <is>
          <t>X</t>
        </is>
      </c>
      <c r="I15" s="4" t="inlineStr">
        <is>
          <t>¾</t>
        </is>
      </c>
      <c r="J15" s="4" t="inlineStr"/>
      <c r="K15" s="4" t="inlineStr">
        <is>
          <t>0</t>
        </is>
      </c>
    </row>
    <row r="16">
      <c r="A16" s="4" t="inlineStr">
        <is>
          <t>75364495</t>
        </is>
      </c>
      <c r="B16" s="4" t="inlineStr">
        <is>
          <t>Grand Valley Estates MHC</t>
        </is>
      </c>
      <c r="C16" s="4" t="inlineStr">
        <is>
          <t>23-DOUBLETREE-CT</t>
        </is>
      </c>
      <c r="D16" s="4" t="inlineStr">
        <is>
          <t>Failed Cal</t>
        </is>
      </c>
      <c r="E16" s="4" t="inlineStr">
        <is>
          <t>No Water flagged</t>
        </is>
      </c>
      <c r="F16" s="4" t="inlineStr">
        <is>
          <t>true</t>
        </is>
      </c>
      <c r="G16" s="4" t="inlineStr">
        <is>
          <t>55</t>
        </is>
      </c>
      <c r="H16" s="4" t="inlineStr">
        <is>
          <t>X</t>
        </is>
      </c>
      <c r="I16" s="4" t="inlineStr">
        <is>
          <t>¾</t>
        </is>
      </c>
      <c r="J16" s="4" t="inlineStr"/>
      <c r="K16" s="4" t="inlineStr">
        <is>
          <t>0</t>
        </is>
      </c>
    </row>
    <row r="17">
      <c r="A17" s="4" t="inlineStr">
        <is>
          <t>75365286</t>
        </is>
      </c>
      <c r="B17" s="4" t="inlineStr">
        <is>
          <t>Grand Valley Estates MHC</t>
        </is>
      </c>
      <c r="C17" s="4" t="inlineStr">
        <is>
          <t>8-SHENNADOH-DR</t>
        </is>
      </c>
      <c r="D17" s="4" t="inlineStr">
        <is>
          <t>Failed Cal</t>
        </is>
      </c>
      <c r="E17" s="4" t="inlineStr">
        <is>
          <t>No Water flagged</t>
        </is>
      </c>
      <c r="F17" s="4" t="inlineStr">
        <is>
          <t>true</t>
        </is>
      </c>
      <c r="G17" s="4" t="inlineStr">
        <is>
          <t>53</t>
        </is>
      </c>
      <c r="H17" s="4" t="inlineStr">
        <is>
          <t>X</t>
        </is>
      </c>
      <c r="I17" s="4" t="inlineStr">
        <is>
          <t>¾</t>
        </is>
      </c>
      <c r="J17" s="4" t="inlineStr"/>
      <c r="K17" s="4" t="inlineStr">
        <is>
          <t>0</t>
        </is>
      </c>
    </row>
    <row r="18">
      <c r="A18" s="4" t="inlineStr">
        <is>
          <t>75365757</t>
        </is>
      </c>
      <c r="B18" s="4" t="inlineStr">
        <is>
          <t>Grand Valley Estates MHC</t>
        </is>
      </c>
      <c r="C18" s="4" t="inlineStr">
        <is>
          <t>13-SHENNADOH-DR</t>
        </is>
      </c>
      <c r="D18" s="4" t="inlineStr">
        <is>
          <t>Failed Cal</t>
        </is>
      </c>
      <c r="E18" s="4" t="inlineStr">
        <is>
          <t>No Water flagged</t>
        </is>
      </c>
      <c r="F18" s="4" t="inlineStr">
        <is>
          <t>true</t>
        </is>
      </c>
      <c r="G18" s="4" t="inlineStr">
        <is>
          <t>55</t>
        </is>
      </c>
      <c r="H18" s="4" t="inlineStr">
        <is>
          <t>X</t>
        </is>
      </c>
      <c r="I18" s="4" t="inlineStr">
        <is>
          <t>¾</t>
        </is>
      </c>
      <c r="J18" s="4" t="inlineStr"/>
      <c r="K18" s="4" t="inlineStr">
        <is>
          <t>0</t>
        </is>
      </c>
    </row>
    <row r="19">
      <c r="A19" s="4" t="inlineStr">
        <is>
          <t>75366441</t>
        </is>
      </c>
      <c r="B19" s="4" t="inlineStr">
        <is>
          <t>Grand Valley Estates MHC</t>
        </is>
      </c>
      <c r="C19" s="4" t="inlineStr">
        <is>
          <t>26-DOUBLETREE-CT</t>
        </is>
      </c>
      <c r="D19" s="4" t="inlineStr">
        <is>
          <t>Failed Cal</t>
        </is>
      </c>
      <c r="E19" s="4" t="inlineStr">
        <is>
          <t>No Water flagged</t>
        </is>
      </c>
      <c r="F19" s="4" t="inlineStr">
        <is>
          <t>true</t>
        </is>
      </c>
      <c r="G19" s="4" t="inlineStr">
        <is>
          <t>55</t>
        </is>
      </c>
      <c r="H19" s="4" t="inlineStr">
        <is>
          <t>X</t>
        </is>
      </c>
      <c r="I19" s="4" t="inlineStr">
        <is>
          <t>¾</t>
        </is>
      </c>
      <c r="J19" s="4" t="inlineStr"/>
      <c r="K19" s="4" t="inlineStr">
        <is>
          <t>0</t>
        </is>
      </c>
    </row>
    <row r="20">
      <c r="A20" s="4" t="inlineStr">
        <is>
          <t>75366607</t>
        </is>
      </c>
      <c r="B20" s="4" t="inlineStr">
        <is>
          <t>Grand Valley Estates MHC</t>
        </is>
      </c>
      <c r="C20" s="4" t="inlineStr">
        <is>
          <t>15-SHENNADOH-DR</t>
        </is>
      </c>
      <c r="D20" s="4" t="inlineStr">
        <is>
          <t>Failed Cal</t>
        </is>
      </c>
      <c r="E20" s="4" t="inlineStr">
        <is>
          <t>No Water flagged</t>
        </is>
      </c>
      <c r="F20" s="4" t="inlineStr">
        <is>
          <t>true</t>
        </is>
      </c>
      <c r="G20" s="4" t="inlineStr">
        <is>
          <t>55</t>
        </is>
      </c>
      <c r="H20" s="4" t="inlineStr">
        <is>
          <t>X</t>
        </is>
      </c>
      <c r="I20" s="4" t="inlineStr">
        <is>
          <t>¾</t>
        </is>
      </c>
      <c r="J20" s="4" t="inlineStr"/>
      <c r="K20" s="4" t="inlineStr">
        <is>
          <t>0</t>
        </is>
      </c>
    </row>
    <row r="21">
      <c r="A21" s="4" t="inlineStr">
        <is>
          <t>75366805</t>
        </is>
      </c>
      <c r="B21" s="4" t="inlineStr">
        <is>
          <t>Grand Valley Estates MHC</t>
        </is>
      </c>
      <c r="C21" s="4" t="inlineStr">
        <is>
          <t>7-SHENNADOH-DR</t>
        </is>
      </c>
      <c r="D21" s="4" t="inlineStr">
        <is>
          <t>Failed Cal</t>
        </is>
      </c>
      <c r="E21" s="4" t="inlineStr">
        <is>
          <t>No Water flagged</t>
        </is>
      </c>
      <c r="F21" s="4" t="inlineStr">
        <is>
          <t>true</t>
        </is>
      </c>
      <c r="G21" s="4" t="inlineStr">
        <is>
          <t>55</t>
        </is>
      </c>
      <c r="H21" s="4" t="inlineStr">
        <is>
          <t>X</t>
        </is>
      </c>
      <c r="I21" s="4" t="inlineStr">
        <is>
          <t>¾</t>
        </is>
      </c>
      <c r="J21" s="4" t="inlineStr"/>
      <c r="K21" s="4" t="inlineStr">
        <is>
          <t>0</t>
        </is>
      </c>
    </row>
    <row r="22">
      <c r="A22" s="4" t="inlineStr">
        <is>
          <t>75367852</t>
        </is>
      </c>
      <c r="B22" s="4" t="inlineStr">
        <is>
          <t>Grand Valley Estates MHC</t>
        </is>
      </c>
      <c r="C22" s="4" t="inlineStr">
        <is>
          <t>19-SHENNADOH-DR</t>
        </is>
      </c>
      <c r="D22" s="4" t="inlineStr">
        <is>
          <t>Failed Cal</t>
        </is>
      </c>
      <c r="E22" s="4" t="inlineStr">
        <is>
          <t>No Water flagged</t>
        </is>
      </c>
      <c r="F22" s="4" t="inlineStr">
        <is>
          <t>true</t>
        </is>
      </c>
      <c r="G22" s="4" t="inlineStr">
        <is>
          <t>55</t>
        </is>
      </c>
      <c r="H22" s="4" t="inlineStr">
        <is>
          <t>X</t>
        </is>
      </c>
      <c r="I22" s="4" t="inlineStr">
        <is>
          <t>¾</t>
        </is>
      </c>
      <c r="J22" s="4" t="inlineStr"/>
      <c r="K22" s="4" t="inlineStr">
        <is>
          <t>0</t>
        </is>
      </c>
    </row>
    <row r="23">
      <c r="A23" s="4" t="inlineStr">
        <is>
          <t>75368298</t>
        </is>
      </c>
      <c r="B23" s="4" t="inlineStr">
        <is>
          <t>Grand Valley Estates MHC</t>
        </is>
      </c>
      <c r="C23" s="4" t="inlineStr">
        <is>
          <t>20-SHENNADOH-DR</t>
        </is>
      </c>
      <c r="D23" s="4" t="inlineStr">
        <is>
          <t>Failed Cal</t>
        </is>
      </c>
      <c r="E23" s="4" t="inlineStr">
        <is>
          <t>No Water flagged</t>
        </is>
      </c>
      <c r="F23" s="4" t="inlineStr">
        <is>
          <t>true</t>
        </is>
      </c>
      <c r="G23" s="4" t="inlineStr">
        <is>
          <t>55</t>
        </is>
      </c>
      <c r="H23" s="4" t="inlineStr">
        <is>
          <t>X</t>
        </is>
      </c>
      <c r="I23" s="4" t="inlineStr">
        <is>
          <t>¾</t>
        </is>
      </c>
      <c r="J23" s="4" t="inlineStr"/>
      <c r="K23" s="4" t="inlineStr">
        <is>
          <t>0</t>
        </is>
      </c>
    </row>
    <row r="24">
      <c r="A24" s="4" t="inlineStr">
        <is>
          <t>75369007</t>
        </is>
      </c>
      <c r="B24" s="4" t="inlineStr">
        <is>
          <t>Grand Valley Estates MHC</t>
        </is>
      </c>
      <c r="C24" s="4" t="inlineStr">
        <is>
          <t>5-DOUBLETREE-DR</t>
        </is>
      </c>
      <c r="D24" s="4" t="inlineStr">
        <is>
          <t>Calibrating</t>
        </is>
      </c>
      <c r="E24" s="4" t="inlineStr">
        <is>
          <t>Unclassified</t>
        </is>
      </c>
      <c r="F24" s="4" t="inlineStr">
        <is>
          <t>false</t>
        </is>
      </c>
      <c r="G24" s="4" t="inlineStr">
        <is>
          <t>40</t>
        </is>
      </c>
      <c r="H24" s="4" t="inlineStr">
        <is>
          <t>X</t>
        </is>
      </c>
      <c r="I24" s="4" t="inlineStr">
        <is>
          <t>¾</t>
        </is>
      </c>
      <c r="J24" s="4" t="inlineStr"/>
      <c r="K24" s="4" t="inlineStr">
        <is>
          <t>0</t>
        </is>
      </c>
    </row>
    <row r="25">
      <c r="A25" s="4" t="inlineStr">
        <is>
          <t>75369189</t>
        </is>
      </c>
      <c r="B25" s="4" t="inlineStr">
        <is>
          <t>Grand Valley Estates MHC</t>
        </is>
      </c>
      <c r="C25" s="4" t="inlineStr">
        <is>
          <t>30-STONE</t>
        </is>
      </c>
      <c r="D25" s="4" t="inlineStr">
        <is>
          <t>Failed Cal</t>
        </is>
      </c>
      <c r="E25" s="4" t="inlineStr">
        <is>
          <t>No Water flagged</t>
        </is>
      </c>
      <c r="F25" s="4" t="inlineStr">
        <is>
          <t>true</t>
        </is>
      </c>
      <c r="G25" s="4" t="inlineStr">
        <is>
          <t>47</t>
        </is>
      </c>
      <c r="H25" s="4" t="inlineStr">
        <is>
          <t>X</t>
        </is>
      </c>
      <c r="I25" s="4" t="inlineStr">
        <is>
          <t>¾</t>
        </is>
      </c>
      <c r="J25" s="4" t="inlineStr"/>
      <c r="K25" s="4" t="inlineStr">
        <is>
          <t>0</t>
        </is>
      </c>
    </row>
    <row r="26">
      <c r="A26" s="4" t="inlineStr">
        <is>
          <t>75370591</t>
        </is>
      </c>
      <c r="B26" s="4" t="inlineStr">
        <is>
          <t>Grand Valley Estates MHC</t>
        </is>
      </c>
      <c r="C26" s="4" t="inlineStr">
        <is>
          <t>22-DOUBLETREE-CT</t>
        </is>
      </c>
      <c r="D26" s="4" t="inlineStr">
        <is>
          <t>Calibrating</t>
        </is>
      </c>
      <c r="E26" s="4" t="inlineStr">
        <is>
          <t>No Water flagged</t>
        </is>
      </c>
      <c r="F26" s="4" t="inlineStr">
        <is>
          <t>true</t>
        </is>
      </c>
      <c r="G26" s="4" t="inlineStr">
        <is>
          <t>40</t>
        </is>
      </c>
      <c r="H26" s="4" t="inlineStr">
        <is>
          <t>X</t>
        </is>
      </c>
      <c r="I26" s="4" t="inlineStr">
        <is>
          <t>¾</t>
        </is>
      </c>
      <c r="J26" s="4" t="inlineStr"/>
      <c r="K26" s="4" t="inlineStr">
        <is>
          <t>0</t>
        </is>
      </c>
    </row>
    <row r="27">
      <c r="A27" s="4" t="inlineStr">
        <is>
          <t>75372563</t>
        </is>
      </c>
      <c r="B27" s="4" t="inlineStr">
        <is>
          <t>Grand Valley Estates MHC</t>
        </is>
      </c>
      <c r="C27" s="4" t="inlineStr">
        <is>
          <t>17-SONOMAVALLEY-DR</t>
        </is>
      </c>
      <c r="D27" s="4" t="inlineStr">
        <is>
          <t>Failed Cal</t>
        </is>
      </c>
      <c r="E27" s="4" t="inlineStr">
        <is>
          <t>No Water flagged</t>
        </is>
      </c>
      <c r="F27" s="4" t="inlineStr">
        <is>
          <t>true</t>
        </is>
      </c>
      <c r="G27" s="4" t="inlineStr">
        <is>
          <t>55</t>
        </is>
      </c>
      <c r="H27" s="4" t="inlineStr">
        <is>
          <t>X</t>
        </is>
      </c>
      <c r="I27" s="4" t="inlineStr">
        <is>
          <t>¾</t>
        </is>
      </c>
      <c r="J27" s="4" t="inlineStr"/>
      <c r="K27" s="4" t="inlineStr">
        <is>
          <t>0</t>
        </is>
      </c>
    </row>
    <row r="28">
      <c r="A28" s="4" t="inlineStr">
        <is>
          <t>75372803</t>
        </is>
      </c>
      <c r="B28" s="4" t="inlineStr">
        <is>
          <t>Grand Valley Estates MHC</t>
        </is>
      </c>
      <c r="C28" s="4" t="inlineStr">
        <is>
          <t>48-IMPERIALVALLEY-DR</t>
        </is>
      </c>
      <c r="D28" s="4" t="inlineStr">
        <is>
          <t>Failed Cal</t>
        </is>
      </c>
      <c r="E28" s="4" t="inlineStr">
        <is>
          <t>No Water flagged</t>
        </is>
      </c>
      <c r="F28" s="4" t="inlineStr">
        <is>
          <t>true</t>
        </is>
      </c>
      <c r="G28" s="4" t="inlineStr">
        <is>
          <t>55</t>
        </is>
      </c>
      <c r="H28" s="4" t="inlineStr">
        <is>
          <t>X</t>
        </is>
      </c>
      <c r="I28" s="4" t="inlineStr">
        <is>
          <t>¾</t>
        </is>
      </c>
      <c r="J28" s="4" t="inlineStr"/>
      <c r="K28" s="4" t="inlineStr">
        <is>
          <t>0</t>
        </is>
      </c>
    </row>
    <row r="29">
      <c r="A29" s="4" t="inlineStr">
        <is>
          <t>75373421</t>
        </is>
      </c>
      <c r="B29" s="4" t="inlineStr">
        <is>
          <t>Grand Valley Estates MHC</t>
        </is>
      </c>
      <c r="C29" s="4" t="inlineStr">
        <is>
          <t>1-DOUBLETREE-CT</t>
        </is>
      </c>
      <c r="D29" s="4" t="inlineStr">
        <is>
          <t>Failed Cal</t>
        </is>
      </c>
      <c r="E29" s="4" t="inlineStr">
        <is>
          <t>No Water flagged</t>
        </is>
      </c>
      <c r="F29" s="4" t="inlineStr">
        <is>
          <t>true</t>
        </is>
      </c>
      <c r="G29" s="4" t="inlineStr">
        <is>
          <t>55</t>
        </is>
      </c>
      <c r="H29" s="4" t="inlineStr">
        <is>
          <t>X</t>
        </is>
      </c>
      <c r="I29" s="4" t="inlineStr">
        <is>
          <t>¾</t>
        </is>
      </c>
      <c r="J29" s="4" t="inlineStr"/>
      <c r="K29" s="4" t="inlineStr">
        <is>
          <t>0</t>
        </is>
      </c>
    </row>
    <row r="30">
      <c r="A30" s="4" t="inlineStr">
        <is>
          <t>75373694</t>
        </is>
      </c>
      <c r="B30" s="4" t="inlineStr">
        <is>
          <t>Grand Valley Estates MHC</t>
        </is>
      </c>
      <c r="C30" s="4" t="inlineStr">
        <is>
          <t>27-DOUBLETREE-CT</t>
        </is>
      </c>
      <c r="D30" s="4" t="inlineStr">
        <is>
          <t>Failed Cal</t>
        </is>
      </c>
      <c r="E30" s="4" t="inlineStr">
        <is>
          <t>No Water flagged</t>
        </is>
      </c>
      <c r="F30" s="4" t="inlineStr">
        <is>
          <t>true</t>
        </is>
      </c>
      <c r="G30" s="4" t="inlineStr">
        <is>
          <t>55</t>
        </is>
      </c>
      <c r="H30" s="4" t="inlineStr">
        <is>
          <t>P</t>
        </is>
      </c>
      <c r="I30" s="4" t="inlineStr">
        <is>
          <t>¾</t>
        </is>
      </c>
      <c r="J30" s="4" t="inlineStr"/>
      <c r="K30" s="4" t="inlineStr">
        <is>
          <t>0</t>
        </is>
      </c>
    </row>
    <row r="31">
      <c r="A31" s="4" t="inlineStr">
        <is>
          <t>75374452</t>
        </is>
      </c>
      <c r="B31" s="4" t="inlineStr">
        <is>
          <t>Grand Valley Estates MHC</t>
        </is>
      </c>
      <c r="C31" s="4" t="inlineStr">
        <is>
          <t>3-SHENNADOH-DR</t>
        </is>
      </c>
      <c r="D31" s="4" t="inlineStr">
        <is>
          <t>Failed Cal</t>
        </is>
      </c>
      <c r="E31" s="4" t="inlineStr">
        <is>
          <t>No Water flagged</t>
        </is>
      </c>
      <c r="F31" s="4" t="inlineStr">
        <is>
          <t>true</t>
        </is>
      </c>
      <c r="G31" s="4" t="inlineStr">
        <is>
          <t>55</t>
        </is>
      </c>
      <c r="H31" s="4" t="inlineStr">
        <is>
          <t>X</t>
        </is>
      </c>
      <c r="I31" s="4" t="inlineStr">
        <is>
          <t>¾</t>
        </is>
      </c>
      <c r="J31" s="4" t="inlineStr"/>
      <c r="K31" s="4" t="inlineStr">
        <is>
          <t>0</t>
        </is>
      </c>
    </row>
    <row r="32">
      <c r="A32" s="4" t="inlineStr">
        <is>
          <t>75374932</t>
        </is>
      </c>
      <c r="B32" s="4" t="inlineStr">
        <is>
          <t>Grand Valley Estates MHC</t>
        </is>
      </c>
      <c r="C32" s="4" t="inlineStr">
        <is>
          <t>2-DOUBLETREE-CT</t>
        </is>
      </c>
      <c r="D32" s="4" t="inlineStr">
        <is>
          <t>Failed Cal</t>
        </is>
      </c>
      <c r="E32" s="4" t="inlineStr">
        <is>
          <t>No Water flagged</t>
        </is>
      </c>
      <c r="F32" s="4" t="inlineStr">
        <is>
          <t>true</t>
        </is>
      </c>
      <c r="G32" s="4" t="inlineStr">
        <is>
          <t>55</t>
        </is>
      </c>
      <c r="H32" s="4" t="inlineStr">
        <is>
          <t>X</t>
        </is>
      </c>
      <c r="I32" s="4" t="inlineStr">
        <is>
          <t>¾</t>
        </is>
      </c>
      <c r="J32" s="4" t="inlineStr"/>
      <c r="K32" s="4" t="inlineStr">
        <is>
          <t>0</t>
        </is>
      </c>
    </row>
    <row r="33">
      <c r="A33" s="4" t="inlineStr">
        <is>
          <t>79460844</t>
        </is>
      </c>
      <c r="B33" s="4" t="inlineStr">
        <is>
          <t>Grand Valley Estates MHC</t>
        </is>
      </c>
      <c r="C33" s="4" t="inlineStr">
        <is>
          <t>18-SHENNADOH-DR</t>
        </is>
      </c>
      <c r="D33" s="4" t="inlineStr">
        <is>
          <t>Failed Cal</t>
        </is>
      </c>
      <c r="E33" s="4" t="inlineStr">
        <is>
          <t>No Water flagged</t>
        </is>
      </c>
      <c r="F33" s="4" t="inlineStr">
        <is>
          <t>true</t>
        </is>
      </c>
      <c r="G33" s="4" t="inlineStr">
        <is>
          <t>55</t>
        </is>
      </c>
      <c r="H33" s="4" t="inlineStr">
        <is>
          <t>X</t>
        </is>
      </c>
      <c r="I33" s="4" t="inlineStr">
        <is>
          <t>¾</t>
        </is>
      </c>
      <c r="J33" s="4" t="inlineStr"/>
      <c r="K33" s="4" t="inlineStr">
        <is>
          <t>0</t>
        </is>
      </c>
    </row>
    <row r="34">
      <c r="A34" s="4" t="inlineStr">
        <is>
          <t>79461677</t>
        </is>
      </c>
      <c r="B34" s="4" t="inlineStr">
        <is>
          <t>Grand Valley Estates MHC</t>
        </is>
      </c>
      <c r="C34" s="4" t="inlineStr">
        <is>
          <t>9-SHENNADOH-DR</t>
        </is>
      </c>
      <c r="D34" s="4" t="inlineStr">
        <is>
          <t>Failed Cal</t>
        </is>
      </c>
      <c r="E34" s="4" t="inlineStr">
        <is>
          <t>No Water flagged</t>
        </is>
      </c>
      <c r="F34" s="4" t="inlineStr">
        <is>
          <t>true</t>
        </is>
      </c>
      <c r="G34" s="4" t="inlineStr">
        <is>
          <t>55</t>
        </is>
      </c>
      <c r="H34" s="4" t="inlineStr">
        <is>
          <t>X</t>
        </is>
      </c>
      <c r="I34" s="4" t="inlineStr">
        <is>
          <t>¾</t>
        </is>
      </c>
      <c r="J34" s="4" t="inlineStr"/>
      <c r="K34" s="4" t="inlineStr">
        <is>
          <t>0</t>
        </is>
      </c>
    </row>
    <row r="35">
      <c r="A35" s="4" t="inlineStr">
        <is>
          <t>79462147</t>
        </is>
      </c>
      <c r="B35" s="4" t="inlineStr">
        <is>
          <t>Grand Valley Estates MHC</t>
        </is>
      </c>
      <c r="C35" s="4" t="inlineStr">
        <is>
          <t>12-SHENNADOH-DR</t>
        </is>
      </c>
      <c r="D35" s="4" t="inlineStr">
        <is>
          <t>Failed Cal</t>
        </is>
      </c>
      <c r="E35" s="4" t="inlineStr">
        <is>
          <t>Pre-existing dead (never metered)</t>
        </is>
      </c>
      <c r="F35" s="4" t="inlineStr">
        <is>
          <t>false</t>
        </is>
      </c>
      <c r="G35" s="4" t="inlineStr">
        <is>
          <t>50</t>
        </is>
      </c>
      <c r="H35" s="4" t="inlineStr">
        <is>
          <t>X</t>
        </is>
      </c>
      <c r="I35" s="4" t="inlineStr">
        <is>
          <t>¾</t>
        </is>
      </c>
      <c r="J35" s="4" t="inlineStr"/>
      <c r="K35" s="4" t="inlineStr">
        <is>
          <t>0</t>
        </is>
      </c>
    </row>
    <row r="36">
      <c r="A36" s="4" t="inlineStr">
        <is>
          <t>79465769</t>
        </is>
      </c>
      <c r="B36" s="4" t="inlineStr">
        <is>
          <t>Grand Valley Estates MHC</t>
        </is>
      </c>
      <c r="C36" s="4" t="inlineStr">
        <is>
          <t>3-DOUBLETREE-DR</t>
        </is>
      </c>
      <c r="D36" s="4" t="inlineStr">
        <is>
          <t>Failed Cal</t>
        </is>
      </c>
      <c r="E36" s="4" t="inlineStr">
        <is>
          <t>No Water flagged</t>
        </is>
      </c>
      <c r="F36" s="4" t="inlineStr">
        <is>
          <t>true</t>
        </is>
      </c>
      <c r="G36" s="4" t="inlineStr">
        <is>
          <t>55</t>
        </is>
      </c>
      <c r="H36" s="4" t="inlineStr">
        <is>
          <t>X</t>
        </is>
      </c>
      <c r="I36" s="4" t="inlineStr">
        <is>
          <t>¾</t>
        </is>
      </c>
      <c r="J36" s="4" t="inlineStr"/>
      <c r="K36" s="4" t="inlineStr">
        <is>
          <t>0</t>
        </is>
      </c>
    </row>
    <row r="37">
      <c r="A37" s="4" t="inlineStr">
        <is>
          <t>79466619</t>
        </is>
      </c>
      <c r="B37" s="4" t="inlineStr">
        <is>
          <t>Grand Valley Estates MHC</t>
        </is>
      </c>
      <c r="C37" s="4" t="inlineStr">
        <is>
          <t>5-SHENNADOH-DR</t>
        </is>
      </c>
      <c r="D37" s="4" t="inlineStr">
        <is>
          <t>Failed Cal</t>
        </is>
      </c>
      <c r="E37" s="4" t="inlineStr">
        <is>
          <t>No Water flagged</t>
        </is>
      </c>
      <c r="F37" s="4" t="inlineStr">
        <is>
          <t>true</t>
        </is>
      </c>
      <c r="G37" s="4" t="inlineStr">
        <is>
          <t>55</t>
        </is>
      </c>
      <c r="H37" s="4" t="inlineStr">
        <is>
          <t>X</t>
        </is>
      </c>
      <c r="I37" s="4" t="inlineStr">
        <is>
          <t>¾</t>
        </is>
      </c>
      <c r="J37" s="4" t="inlineStr"/>
      <c r="K37" s="4" t="inlineStr">
        <is>
          <t>0</t>
        </is>
      </c>
    </row>
    <row r="38">
      <c r="A38" s="4" t="inlineStr">
        <is>
          <t>75368587</t>
        </is>
      </c>
      <c r="B38" s="4" t="inlineStr">
        <is>
          <t>Highlands MHC</t>
        </is>
      </c>
      <c r="C38" s="4" t="inlineStr">
        <is>
          <t>9</t>
        </is>
      </c>
      <c r="D38" s="4" t="inlineStr">
        <is>
          <t>Failed Cal</t>
        </is>
      </c>
      <c r="E38" s="4" t="inlineStr">
        <is>
          <t>Casualty (metered pre-FW)</t>
        </is>
      </c>
      <c r="F38" s="4" t="inlineStr">
        <is>
          <t>false</t>
        </is>
      </c>
      <c r="G38" s="4" t="inlineStr">
        <is>
          <t>55</t>
        </is>
      </c>
      <c r="H38" s="4" t="inlineStr">
        <is>
          <t>X</t>
        </is>
      </c>
      <c r="I38" s="4" t="inlineStr">
        <is>
          <t>¾</t>
        </is>
      </c>
      <c r="J38" s="4" t="inlineStr"/>
      <c r="K38" s="4" t="inlineStr">
        <is>
          <t>0</t>
        </is>
      </c>
    </row>
    <row r="39">
      <c r="A39" s="4" t="inlineStr">
        <is>
          <t>75372761</t>
        </is>
      </c>
      <c r="B39" s="4" t="inlineStr">
        <is>
          <t>Highlands MHC</t>
        </is>
      </c>
      <c r="C39" s="4" t="inlineStr">
        <is>
          <t>11A</t>
        </is>
      </c>
      <c r="D39" s="4" t="inlineStr">
        <is>
          <t>Failed Cal</t>
        </is>
      </c>
      <c r="E39" s="4" t="inlineStr">
        <is>
          <t>Casualty (metered pre-FW)</t>
        </is>
      </c>
      <c r="F39" s="4" t="inlineStr">
        <is>
          <t>false</t>
        </is>
      </c>
      <c r="G39" s="4" t="inlineStr">
        <is>
          <t>38</t>
        </is>
      </c>
      <c r="H39" s="4" t="inlineStr">
        <is>
          <t>P</t>
        </is>
      </c>
      <c r="I39" s="4" t="inlineStr">
        <is>
          <t>¾</t>
        </is>
      </c>
      <c r="J39" s="4" t="inlineStr"/>
      <c r="K39" s="4" t="inlineStr">
        <is>
          <t>0</t>
        </is>
      </c>
    </row>
    <row r="40">
      <c r="A40" s="4" t="inlineStr">
        <is>
          <t>72716543</t>
        </is>
      </c>
      <c r="B40" s="4" t="inlineStr">
        <is>
          <t>Hillview MHC</t>
        </is>
      </c>
      <c r="C40" s="4" t="inlineStr">
        <is>
          <t>13</t>
        </is>
      </c>
      <c r="D40" s="4" t="inlineStr">
        <is>
          <t>Failed Cal</t>
        </is>
      </c>
      <c r="E40" s="4" t="inlineStr">
        <is>
          <t>Casualty (metered pre-FW)</t>
        </is>
      </c>
      <c r="F40" s="4" t="inlineStr">
        <is>
          <t>false</t>
        </is>
      </c>
      <c r="G40" s="4" t="inlineStr">
        <is>
          <t>55</t>
        </is>
      </c>
      <c r="H40" s="4" t="inlineStr">
        <is>
          <t>P</t>
        </is>
      </c>
      <c r="I40" s="4" t="inlineStr">
        <is>
          <t>½</t>
        </is>
      </c>
      <c r="J40" s="4" t="inlineStr"/>
      <c r="K40" s="4" t="inlineStr">
        <is>
          <t>0</t>
        </is>
      </c>
    </row>
    <row r="41">
      <c r="A41" s="4" t="inlineStr">
        <is>
          <t>72723010</t>
        </is>
      </c>
      <c r="B41" s="4" t="inlineStr">
        <is>
          <t>Hillview MHC</t>
        </is>
      </c>
      <c r="C41" s="4" t="inlineStr">
        <is>
          <t>4</t>
        </is>
      </c>
      <c r="D41" s="4" t="inlineStr">
        <is>
          <t>Failed Cal</t>
        </is>
      </c>
      <c r="E41" s="4" t="inlineStr">
        <is>
          <t>Casualty (metered pre-FW)</t>
        </is>
      </c>
      <c r="F41" s="4" t="inlineStr">
        <is>
          <t>false</t>
        </is>
      </c>
      <c r="G41" s="4" t="inlineStr">
        <is>
          <t>55</t>
        </is>
      </c>
      <c r="H41" s="4" t="inlineStr">
        <is>
          <t>P</t>
        </is>
      </c>
      <c r="I41" s="4" t="inlineStr">
        <is>
          <t>¾</t>
        </is>
      </c>
      <c r="J41" s="4" t="inlineStr"/>
      <c r="K41" s="4" t="inlineStr">
        <is>
          <t>0</t>
        </is>
      </c>
    </row>
    <row r="42">
      <c r="A42" s="4" t="inlineStr">
        <is>
          <t>70261936</t>
        </is>
      </c>
      <c r="B42" s="4" t="inlineStr">
        <is>
          <t>Hoosier Park MHC</t>
        </is>
      </c>
      <c r="C42" s="4" t="inlineStr">
        <is>
          <t>6-OLD</t>
        </is>
      </c>
      <c r="D42" s="4" t="inlineStr">
        <is>
          <t>Failed Cal</t>
        </is>
      </c>
      <c r="E42" s="4" t="inlineStr">
        <is>
          <t>Pulled meter (OLD/REMOVED tag)</t>
        </is>
      </c>
      <c r="F42" s="4" t="inlineStr">
        <is>
          <t>false</t>
        </is>
      </c>
      <c r="G42" s="4" t="inlineStr">
        <is>
          <t>55</t>
        </is>
      </c>
      <c r="H42" s="4" t="inlineStr">
        <is>
          <t>P</t>
        </is>
      </c>
      <c r="I42" s="4" t="inlineStr">
        <is>
          <t>¾</t>
        </is>
      </c>
      <c r="J42" s="4" t="inlineStr"/>
      <c r="K42" s="4" t="inlineStr">
        <is>
          <t>0</t>
        </is>
      </c>
    </row>
    <row r="43">
      <c r="A43" s="4" t="inlineStr">
        <is>
          <t>70264195</t>
        </is>
      </c>
      <c r="B43" s="4" t="inlineStr">
        <is>
          <t>Ibiza Village2</t>
        </is>
      </c>
      <c r="C43" s="4" t="inlineStr">
        <is>
          <t>1-OLD</t>
        </is>
      </c>
      <c r="D43" s="4" t="inlineStr">
        <is>
          <t>Failed Cal</t>
        </is>
      </c>
      <c r="E43" s="4" t="inlineStr">
        <is>
          <t>Pulled meter (OLD/REMOVED tag)</t>
        </is>
      </c>
      <c r="F43" s="4" t="inlineStr">
        <is>
          <t>false</t>
        </is>
      </c>
      <c r="G43" s="4" t="inlineStr">
        <is>
          <t>55</t>
        </is>
      </c>
      <c r="H43" s="4" t="inlineStr">
        <is>
          <t>M</t>
        </is>
      </c>
      <c r="I43" s="4" t="inlineStr">
        <is>
          <t>1</t>
        </is>
      </c>
      <c r="J43" s="4" t="inlineStr"/>
      <c r="K43" s="4" t="inlineStr">
        <is>
          <t>0</t>
        </is>
      </c>
    </row>
    <row r="44">
      <c r="A44" s="4" t="inlineStr">
        <is>
          <t>70265440</t>
        </is>
      </c>
      <c r="B44" s="4" t="inlineStr">
        <is>
          <t>Ibiza Village2</t>
        </is>
      </c>
      <c r="C44" s="4" t="inlineStr">
        <is>
          <t>8-OLD</t>
        </is>
      </c>
      <c r="D44" s="4" t="inlineStr">
        <is>
          <t>Failed Cal</t>
        </is>
      </c>
      <c r="E44" s="4" t="inlineStr">
        <is>
          <t>Pulled meter (OLD/REMOVED tag)</t>
        </is>
      </c>
      <c r="F44" s="4" t="inlineStr">
        <is>
          <t>false</t>
        </is>
      </c>
      <c r="G44" s="4" t="inlineStr">
        <is>
          <t>55</t>
        </is>
      </c>
      <c r="H44" s="4" t="inlineStr">
        <is>
          <t>M</t>
        </is>
      </c>
      <c r="I44" s="4" t="inlineStr">
        <is>
          <t>1</t>
        </is>
      </c>
      <c r="J44" s="4" t="inlineStr"/>
      <c r="K44" s="4" t="inlineStr">
        <is>
          <t>0</t>
        </is>
      </c>
    </row>
    <row r="45">
      <c r="A45" s="4" t="inlineStr">
        <is>
          <t>70268980</t>
        </is>
      </c>
      <c r="B45" s="4" t="inlineStr">
        <is>
          <t>Ibiza Village2</t>
        </is>
      </c>
      <c r="C45" s="4" t="inlineStr">
        <is>
          <t>17-OLD</t>
        </is>
      </c>
      <c r="D45" s="4" t="inlineStr">
        <is>
          <t>TI Silent</t>
        </is>
      </c>
      <c r="E45" s="4" t="inlineStr">
        <is>
          <t>Pulled meter (OLD/REMOVED tag)</t>
        </is>
      </c>
      <c r="F45" s="4" t="inlineStr">
        <is>
          <t>false</t>
        </is>
      </c>
      <c r="G45" s="4" t="inlineStr">
        <is>
          <t>0</t>
        </is>
      </c>
      <c r="H45" s="4" t="inlineStr">
        <is>
          <t>M</t>
        </is>
      </c>
      <c r="I45" s="4" t="inlineStr">
        <is>
          <t>1</t>
        </is>
      </c>
      <c r="J45" s="4" t="inlineStr"/>
      <c r="K45" s="4" t="inlineStr">
        <is>
          <t>0</t>
        </is>
      </c>
    </row>
    <row r="46">
      <c r="A46" s="4" t="inlineStr">
        <is>
          <t>72381070</t>
        </is>
      </c>
      <c r="B46" s="4" t="inlineStr">
        <is>
          <t>Ibiza Village2</t>
        </is>
      </c>
      <c r="C46" s="4" t="inlineStr">
        <is>
          <t>15-OLD</t>
        </is>
      </c>
      <c r="D46" s="4" t="inlineStr">
        <is>
          <t>Failed Cal</t>
        </is>
      </c>
      <c r="E46" s="4" t="inlineStr">
        <is>
          <t>Pulled meter (OLD/REMOVED tag)</t>
        </is>
      </c>
      <c r="F46" s="4" t="inlineStr">
        <is>
          <t>false</t>
        </is>
      </c>
      <c r="G46" s="4" t="inlineStr">
        <is>
          <t>55</t>
        </is>
      </c>
      <c r="H46" s="4" t="inlineStr">
        <is>
          <t>M</t>
        </is>
      </c>
      <c r="I46" s="4" t="inlineStr">
        <is>
          <t>1</t>
        </is>
      </c>
      <c r="J46" s="4" t="inlineStr"/>
      <c r="K46" s="4" t="inlineStr">
        <is>
          <t>0</t>
        </is>
      </c>
    </row>
    <row r="47">
      <c r="A47" s="4" t="inlineStr">
        <is>
          <t>72391756</t>
        </is>
      </c>
      <c r="B47" s="4" t="inlineStr">
        <is>
          <t>Ibiza Village2</t>
        </is>
      </c>
      <c r="C47" s="4" t="inlineStr">
        <is>
          <t>2-OLD</t>
        </is>
      </c>
      <c r="D47" s="4" t="inlineStr">
        <is>
          <t>Failed Cal</t>
        </is>
      </c>
      <c r="E47" s="4" t="inlineStr">
        <is>
          <t>Pulled meter (OLD/REMOVED tag)</t>
        </is>
      </c>
      <c r="F47" s="4" t="inlineStr">
        <is>
          <t>false</t>
        </is>
      </c>
      <c r="G47" s="4" t="inlineStr">
        <is>
          <t>55</t>
        </is>
      </c>
      <c r="H47" s="4" t="inlineStr">
        <is>
          <t>M</t>
        </is>
      </c>
      <c r="I47" s="4" t="inlineStr">
        <is>
          <t>1</t>
        </is>
      </c>
      <c r="J47" s="4" t="inlineStr"/>
      <c r="K47" s="4" t="inlineStr">
        <is>
          <t>0</t>
        </is>
      </c>
    </row>
    <row r="48">
      <c r="A48" s="4" t="inlineStr">
        <is>
          <t>70263080</t>
        </is>
      </c>
      <c r="B48" s="4" t="inlineStr">
        <is>
          <t>John Alexander ADU 5YR</t>
        </is>
      </c>
      <c r="C48" s="4" t="inlineStr"/>
      <c r="D48" s="4" t="inlineStr">
        <is>
          <t>Failed Cal</t>
        </is>
      </c>
      <c r="E48" s="4" t="inlineStr">
        <is>
          <t>Casualty (metered pre-FW)</t>
        </is>
      </c>
      <c r="F48" s="4" t="inlineStr">
        <is>
          <t>false</t>
        </is>
      </c>
      <c r="G48" s="4" t="inlineStr">
        <is>
          <t>41</t>
        </is>
      </c>
      <c r="H48" s="4" t="inlineStr">
        <is>
          <t>X</t>
        </is>
      </c>
      <c r="I48" s="4" t="inlineStr">
        <is>
          <t>¾</t>
        </is>
      </c>
      <c r="J48" s="4" t="inlineStr"/>
      <c r="K48" s="4" t="inlineStr">
        <is>
          <t>0</t>
        </is>
      </c>
    </row>
    <row r="49">
      <c r="A49" s="4" t="inlineStr">
        <is>
          <t>70260011</t>
        </is>
      </c>
      <c r="B49" s="4" t="inlineStr">
        <is>
          <t>Kingsbrook MHC</t>
        </is>
      </c>
      <c r="C49" s="4" t="inlineStr">
        <is>
          <t>596MI</t>
        </is>
      </c>
      <c r="D49" s="4" t="inlineStr">
        <is>
          <t>TI Silent</t>
        </is>
      </c>
      <c r="E49" s="4" t="inlineStr">
        <is>
          <t>Casualty (metered pre-FW)</t>
        </is>
      </c>
      <c r="F49" s="4" t="inlineStr">
        <is>
          <t>false</t>
        </is>
      </c>
      <c r="G49" s="4" t="inlineStr">
        <is>
          <t>0</t>
        </is>
      </c>
      <c r="H49" s="4" t="inlineStr">
        <is>
          <t>X</t>
        </is>
      </c>
      <c r="I49" s="4" t="inlineStr">
        <is>
          <t>¾</t>
        </is>
      </c>
      <c r="J49" s="4" t="inlineStr"/>
      <c r="K49" s="4" t="inlineStr">
        <is>
          <t>0</t>
        </is>
      </c>
    </row>
    <row r="50">
      <c r="A50" s="4" t="inlineStr">
        <is>
          <t>75367050</t>
        </is>
      </c>
      <c r="B50" s="4" t="inlineStr">
        <is>
          <t>Kingsbrook MHC</t>
        </is>
      </c>
      <c r="C50" s="4" t="inlineStr">
        <is>
          <t>778AM</t>
        </is>
      </c>
      <c r="D50" s="4" t="inlineStr">
        <is>
          <t>Failed Cal</t>
        </is>
      </c>
      <c r="E50" s="4" t="inlineStr">
        <is>
          <t>Pre-existing dead (never metered)</t>
        </is>
      </c>
      <c r="F50" s="4" t="inlineStr">
        <is>
          <t>false</t>
        </is>
      </c>
      <c r="G50" s="4" t="inlineStr">
        <is>
          <t>55</t>
        </is>
      </c>
      <c r="H50" s="4" t="inlineStr">
        <is>
          <t>M</t>
        </is>
      </c>
      <c r="I50" s="4" t="inlineStr">
        <is>
          <t>½</t>
        </is>
      </c>
      <c r="J50" s="4" t="inlineStr"/>
      <c r="K50" s="4" t="inlineStr">
        <is>
          <t>0</t>
        </is>
      </c>
    </row>
    <row r="51">
      <c r="A51" s="4" t="inlineStr">
        <is>
          <t>72380866</t>
        </is>
      </c>
      <c r="B51" s="4" t="inlineStr">
        <is>
          <t>Lafountaine MHC</t>
        </is>
      </c>
      <c r="C51" s="4" t="inlineStr">
        <is>
          <t>125CC</t>
        </is>
      </c>
      <c r="D51" s="4" t="inlineStr">
        <is>
          <t>Failed Cal</t>
        </is>
      </c>
      <c r="E51" s="4" t="inlineStr">
        <is>
          <t>Casualty (metered pre-FW)</t>
        </is>
      </c>
      <c r="F51" s="4" t="inlineStr">
        <is>
          <t>false</t>
        </is>
      </c>
      <c r="G51" s="4" t="inlineStr">
        <is>
          <t>55</t>
        </is>
      </c>
      <c r="H51" s="4" t="inlineStr">
        <is>
          <t>X</t>
        </is>
      </c>
      <c r="I51" s="4" t="inlineStr">
        <is>
          <t>¾</t>
        </is>
      </c>
      <c r="J51" s="4" t="inlineStr"/>
      <c r="K51" s="4" t="inlineStr">
        <is>
          <t>0</t>
        </is>
      </c>
    </row>
    <row r="52">
      <c r="A52" s="4" t="inlineStr">
        <is>
          <t>72723051</t>
        </is>
      </c>
      <c r="B52" s="4" t="inlineStr">
        <is>
          <t>Little Acres MHC</t>
        </is>
      </c>
      <c r="C52" s="4" t="inlineStr">
        <is>
          <t>9</t>
        </is>
      </c>
      <c r="D52" s="4" t="inlineStr">
        <is>
          <t>Calibrating</t>
        </is>
      </c>
      <c r="E52" s="4" t="inlineStr">
        <is>
          <t>Unclassified</t>
        </is>
      </c>
      <c r="F52" s="4" t="inlineStr">
        <is>
          <t>false</t>
        </is>
      </c>
      <c r="G52" s="4" t="inlineStr">
        <is>
          <t>40</t>
        </is>
      </c>
      <c r="H52" s="4" t="inlineStr">
        <is>
          <t>P</t>
        </is>
      </c>
      <c r="I52" s="4" t="inlineStr">
        <is>
          <t>½</t>
        </is>
      </c>
      <c r="J52" s="4" t="inlineStr"/>
      <c r="K52" s="4" t="inlineStr">
        <is>
          <t>0</t>
        </is>
      </c>
    </row>
    <row r="53">
      <c r="A53" s="4" t="inlineStr">
        <is>
          <t>70266901</t>
        </is>
      </c>
      <c r="B53" s="4" t="inlineStr">
        <is>
          <t>Maple Run MHP</t>
        </is>
      </c>
      <c r="C53" s="4" t="inlineStr">
        <is>
          <t>11</t>
        </is>
      </c>
      <c r="D53" s="4" t="inlineStr">
        <is>
          <t>Failed Cal</t>
        </is>
      </c>
      <c r="E53" s="4" t="inlineStr">
        <is>
          <t>Casualty (metered pre-FW)</t>
        </is>
      </c>
      <c r="F53" s="4" t="inlineStr">
        <is>
          <t>false</t>
        </is>
      </c>
      <c r="G53" s="4" t="inlineStr">
        <is>
          <t>55</t>
        </is>
      </c>
      <c r="H53" s="4" t="inlineStr">
        <is>
          <t>P</t>
        </is>
      </c>
      <c r="I53" s="4" t="inlineStr">
        <is>
          <t>¾</t>
        </is>
      </c>
      <c r="J53" s="4" t="inlineStr"/>
      <c r="K53" s="4" t="inlineStr">
        <is>
          <t>0</t>
        </is>
      </c>
    </row>
    <row r="54">
      <c r="A54" s="4" t="inlineStr">
        <is>
          <t>72720776</t>
        </is>
      </c>
      <c r="B54" s="4" t="inlineStr">
        <is>
          <t>Mountaineer Village MHC</t>
        </is>
      </c>
      <c r="C54" s="4" t="inlineStr"/>
      <c r="D54" s="4" t="inlineStr">
        <is>
          <t>Failed Cal</t>
        </is>
      </c>
      <c r="E54" s="4" t="inlineStr">
        <is>
          <t>Casualty (metered pre-FW)</t>
        </is>
      </c>
      <c r="F54" s="4" t="inlineStr">
        <is>
          <t>false</t>
        </is>
      </c>
      <c r="G54" s="4" t="inlineStr">
        <is>
          <t>55</t>
        </is>
      </c>
      <c r="H54" s="4" t="inlineStr">
        <is>
          <t>X</t>
        </is>
      </c>
      <c r="I54" s="4" t="inlineStr">
        <is>
          <t>¾</t>
        </is>
      </c>
      <c r="J54" s="4" t="inlineStr"/>
      <c r="K54" s="4" t="inlineStr">
        <is>
          <t>0</t>
        </is>
      </c>
    </row>
    <row r="55">
      <c r="A55" s="4" t="inlineStr">
        <is>
          <t>77053348</t>
        </is>
      </c>
      <c r="B55" s="4" t="inlineStr">
        <is>
          <t>Oak Forest Estate MHC</t>
        </is>
      </c>
      <c r="C55" s="4" t="inlineStr">
        <is>
          <t>2-REMOVED</t>
        </is>
      </c>
      <c r="D55" s="4" t="inlineStr">
        <is>
          <t>Failed Cal</t>
        </is>
      </c>
      <c r="E55" s="4" t="inlineStr">
        <is>
          <t>Pulled meter (OLD/REMOVED tag)</t>
        </is>
      </c>
      <c r="F55" s="4" t="inlineStr">
        <is>
          <t>false</t>
        </is>
      </c>
      <c r="G55" s="4" t="inlineStr">
        <is>
          <t>55</t>
        </is>
      </c>
      <c r="H55" s="4" t="inlineStr">
        <is>
          <t>P</t>
        </is>
      </c>
      <c r="I55" s="4" t="inlineStr">
        <is>
          <t>¾</t>
        </is>
      </c>
      <c r="J55" s="4" t="inlineStr"/>
      <c r="K55" s="4" t="inlineStr">
        <is>
          <t>0</t>
        </is>
      </c>
    </row>
    <row r="56">
      <c r="A56" s="4" t="inlineStr">
        <is>
          <t>70266620</t>
        </is>
      </c>
      <c r="B56" s="4" t="inlineStr">
        <is>
          <t>PW2</t>
        </is>
      </c>
      <c r="C56" s="4" t="inlineStr">
        <is>
          <t>3124LINDA</t>
        </is>
      </c>
      <c r="D56" s="4" t="inlineStr">
        <is>
          <t>Failed Cal</t>
        </is>
      </c>
      <c r="E56" s="4" t="inlineStr">
        <is>
          <t>No Water flagged</t>
        </is>
      </c>
      <c r="F56" s="4" t="inlineStr">
        <is>
          <t>true</t>
        </is>
      </c>
      <c r="G56" s="4" t="inlineStr">
        <is>
          <t>38</t>
        </is>
      </c>
      <c r="H56" s="4" t="inlineStr">
        <is>
          <t>X</t>
        </is>
      </c>
      <c r="I56" s="4" t="inlineStr">
        <is>
          <t>¾</t>
        </is>
      </c>
      <c r="J56" s="4" t="inlineStr"/>
      <c r="K56" s="4" t="inlineStr">
        <is>
          <t>0</t>
        </is>
      </c>
    </row>
    <row r="57">
      <c r="A57" s="4" t="inlineStr">
        <is>
          <t>79461560</t>
        </is>
      </c>
      <c r="B57" s="4" t="inlineStr">
        <is>
          <t>Paola MHC</t>
        </is>
      </c>
      <c r="C57" s="4" t="inlineStr">
        <is>
          <t>23</t>
        </is>
      </c>
      <c r="D57" s="4" t="inlineStr">
        <is>
          <t>Metering</t>
        </is>
      </c>
      <c r="E57" s="4" t="inlineStr">
        <is>
          <t>Unclassified</t>
        </is>
      </c>
      <c r="F57" s="4" t="inlineStr">
        <is>
          <t>false</t>
        </is>
      </c>
      <c r="G57" s="4" t="inlineStr">
        <is>
          <t>38</t>
        </is>
      </c>
      <c r="H57" s="4" t="inlineStr">
        <is>
          <t>X</t>
        </is>
      </c>
      <c r="I57" s="4" t="inlineStr">
        <is>
          <t>½</t>
        </is>
      </c>
      <c r="J57" s="4" t="inlineStr"/>
      <c r="K57" s="4" t="inlineStr">
        <is>
          <t>0</t>
        </is>
      </c>
    </row>
    <row r="58">
      <c r="A58" s="4" t="inlineStr">
        <is>
          <t>70270440</t>
        </is>
      </c>
      <c r="B58" s="4" t="inlineStr">
        <is>
          <t>Parker MHC</t>
        </is>
      </c>
      <c r="C58" s="4" t="inlineStr">
        <is>
          <t>11</t>
        </is>
      </c>
      <c r="D58" s="4" t="inlineStr">
        <is>
          <t>Failed Cal</t>
        </is>
      </c>
      <c r="E58" s="4" t="inlineStr">
        <is>
          <t>Casualty (metered pre-FW)</t>
        </is>
      </c>
      <c r="F58" s="4" t="inlineStr">
        <is>
          <t>false</t>
        </is>
      </c>
      <c r="G58" s="4" t="inlineStr">
        <is>
          <t>55</t>
        </is>
      </c>
      <c r="H58" s="4" t="inlineStr">
        <is>
          <t>X</t>
        </is>
      </c>
      <c r="I58" s="4" t="inlineStr">
        <is>
          <t>¾</t>
        </is>
      </c>
      <c r="J58" s="4" t="inlineStr"/>
      <c r="K58" s="4" t="inlineStr">
        <is>
          <t>0</t>
        </is>
      </c>
    </row>
    <row r="59">
      <c r="A59" s="4" t="inlineStr">
        <is>
          <t>77059808</t>
        </is>
      </c>
      <c r="B59" s="4" t="inlineStr">
        <is>
          <t>Parkview MHP</t>
        </is>
      </c>
      <c r="C59" s="4" t="inlineStr">
        <is>
          <t>C53OFFICE</t>
        </is>
      </c>
      <c r="D59" s="4" t="inlineStr">
        <is>
          <t>Failed Cal</t>
        </is>
      </c>
      <c r="E59" s="4" t="inlineStr">
        <is>
          <t>Casualty (metered pre-FW)</t>
        </is>
      </c>
      <c r="F59" s="4" t="inlineStr">
        <is>
          <t>false</t>
        </is>
      </c>
      <c r="G59" s="4" t="inlineStr">
        <is>
          <t>55</t>
        </is>
      </c>
      <c r="H59" s="4" t="inlineStr">
        <is>
          <t>X</t>
        </is>
      </c>
      <c r="I59" s="4" t="inlineStr">
        <is>
          <t>½</t>
        </is>
      </c>
      <c r="J59" s="4" t="inlineStr"/>
      <c r="K59" s="4" t="inlineStr">
        <is>
          <t>0</t>
        </is>
      </c>
    </row>
    <row r="60">
      <c r="A60" s="4" t="inlineStr">
        <is>
          <t>75363810</t>
        </is>
      </c>
      <c r="B60" s="4" t="inlineStr">
        <is>
          <t>Pleasant Acres</t>
        </is>
      </c>
      <c r="C60" s="4" t="inlineStr">
        <is>
          <t>33-OLD</t>
        </is>
      </c>
      <c r="D60" s="4" t="inlineStr">
        <is>
          <t>Failed Cal</t>
        </is>
      </c>
      <c r="E60" s="4" t="inlineStr">
        <is>
          <t>Pulled meter (OLD/REMOVED tag)</t>
        </is>
      </c>
      <c r="F60" s="4" t="inlineStr">
        <is>
          <t>false</t>
        </is>
      </c>
      <c r="G60" s="4" t="inlineStr">
        <is>
          <t>55</t>
        </is>
      </c>
      <c r="H60" s="4" t="inlineStr">
        <is>
          <t>X</t>
        </is>
      </c>
      <c r="I60" s="4" t="inlineStr">
        <is>
          <t>¾</t>
        </is>
      </c>
      <c r="J60" s="4" t="inlineStr"/>
      <c r="K60" s="4" t="inlineStr">
        <is>
          <t>0</t>
        </is>
      </c>
    </row>
    <row r="61">
      <c r="A61" s="4" t="inlineStr">
        <is>
          <t>75371151</t>
        </is>
      </c>
      <c r="B61" s="4" t="inlineStr">
        <is>
          <t>River Bend</t>
        </is>
      </c>
      <c r="C61" s="4" t="inlineStr">
        <is>
          <t>23</t>
        </is>
      </c>
      <c r="D61" s="4" t="inlineStr">
        <is>
          <t>Failed Cal</t>
        </is>
      </c>
      <c r="E61" s="4" t="inlineStr">
        <is>
          <t>Casualty (metered pre-FW)</t>
        </is>
      </c>
      <c r="F61" s="4" t="inlineStr">
        <is>
          <t>false</t>
        </is>
      </c>
      <c r="G61" s="4" t="inlineStr">
        <is>
          <t>29</t>
        </is>
      </c>
      <c r="H61" s="4" t="inlineStr">
        <is>
          <t>X</t>
        </is>
      </c>
      <c r="I61" s="4" t="inlineStr">
        <is>
          <t>¾</t>
        </is>
      </c>
      <c r="J61" s="4" t="inlineStr"/>
      <c r="K61" s="4" t="inlineStr">
        <is>
          <t>0</t>
        </is>
      </c>
    </row>
    <row r="62">
      <c r="A62" s="4" t="inlineStr">
        <is>
          <t>75362978</t>
        </is>
      </c>
      <c r="B62" s="4" t="inlineStr">
        <is>
          <t>Roosevelt MHC</t>
        </is>
      </c>
      <c r="C62" s="4" t="inlineStr">
        <is>
          <t>140</t>
        </is>
      </c>
      <c r="D62" s="4" t="inlineStr">
        <is>
          <t>Failed Cal</t>
        </is>
      </c>
      <c r="E62" s="4" t="inlineStr">
        <is>
          <t>Casualty (metered pre-FW)</t>
        </is>
      </c>
      <c r="F62" s="4" t="inlineStr">
        <is>
          <t>false</t>
        </is>
      </c>
      <c r="G62" s="4" t="inlineStr">
        <is>
          <t>47</t>
        </is>
      </c>
      <c r="H62" s="4" t="inlineStr">
        <is>
          <t>X</t>
        </is>
      </c>
      <c r="I62" s="4" t="inlineStr">
        <is>
          <t>¾</t>
        </is>
      </c>
      <c r="J62" s="4" t="inlineStr"/>
      <c r="K62" s="4" t="inlineStr">
        <is>
          <t>0</t>
        </is>
      </c>
    </row>
    <row r="63">
      <c r="A63" s="4" t="inlineStr">
        <is>
          <t>75367696</t>
        </is>
      </c>
      <c r="B63" s="4" t="inlineStr">
        <is>
          <t>Roosevelt MHC</t>
        </is>
      </c>
      <c r="C63" s="4" t="inlineStr">
        <is>
          <t>43</t>
        </is>
      </c>
      <c r="D63" s="4" t="inlineStr">
        <is>
          <t>Failed Cal</t>
        </is>
      </c>
      <c r="E63" s="4" t="inlineStr">
        <is>
          <t>Casualty (metered pre-FW)</t>
        </is>
      </c>
      <c r="F63" s="4" t="inlineStr">
        <is>
          <t>false</t>
        </is>
      </c>
      <c r="G63" s="4" t="inlineStr">
        <is>
          <t>55</t>
        </is>
      </c>
      <c r="H63" s="4" t="inlineStr">
        <is>
          <t>P</t>
        </is>
      </c>
      <c r="I63" s="4" t="inlineStr">
        <is>
          <t>¾</t>
        </is>
      </c>
      <c r="J63" s="4" t="inlineStr"/>
      <c r="K63" s="4" t="inlineStr">
        <is>
          <t>0</t>
        </is>
      </c>
    </row>
    <row r="64">
      <c r="A64" s="4" t="inlineStr">
        <is>
          <t>75370492</t>
        </is>
      </c>
      <c r="B64" s="4" t="inlineStr">
        <is>
          <t>Roosevelt MHC</t>
        </is>
      </c>
      <c r="C64" s="4" t="inlineStr">
        <is>
          <t>42</t>
        </is>
      </c>
      <c r="D64" s="4" t="inlineStr">
        <is>
          <t>Failed Cal</t>
        </is>
      </c>
      <c r="E64" s="4" t="inlineStr">
        <is>
          <t>Casualty (metered pre-FW)</t>
        </is>
      </c>
      <c r="F64" s="4" t="inlineStr">
        <is>
          <t>false</t>
        </is>
      </c>
      <c r="G64" s="4" t="inlineStr">
        <is>
          <t>55</t>
        </is>
      </c>
      <c r="H64" s="4" t="inlineStr">
        <is>
          <t>X</t>
        </is>
      </c>
      <c r="I64" s="4" t="inlineStr">
        <is>
          <t>¾</t>
        </is>
      </c>
      <c r="J64" s="4" t="inlineStr"/>
      <c r="K64" s="4" t="inlineStr">
        <is>
          <t>0</t>
        </is>
      </c>
    </row>
    <row r="65">
      <c r="A65" s="4" t="inlineStr">
        <is>
          <t>75371425</t>
        </is>
      </c>
      <c r="B65" s="4" t="inlineStr">
        <is>
          <t>Roosevelt MHC</t>
        </is>
      </c>
      <c r="C65" s="4" t="inlineStr">
        <is>
          <t>107</t>
        </is>
      </c>
      <c r="D65" s="4" t="inlineStr">
        <is>
          <t>Calibrating</t>
        </is>
      </c>
      <c r="E65" s="4" t="inlineStr">
        <is>
          <t>Unclassified</t>
        </is>
      </c>
      <c r="F65" s="4" t="inlineStr">
        <is>
          <t>false</t>
        </is>
      </c>
      <c r="G65" s="4" t="inlineStr">
        <is>
          <t>40</t>
        </is>
      </c>
      <c r="H65" s="4" t="inlineStr">
        <is>
          <t>X</t>
        </is>
      </c>
      <c r="I65" s="4" t="inlineStr">
        <is>
          <t>¾</t>
        </is>
      </c>
      <c r="J65" s="4" t="inlineStr"/>
      <c r="K65" s="4" t="inlineStr">
        <is>
          <t>0</t>
        </is>
      </c>
    </row>
    <row r="66">
      <c r="A66" s="4" t="inlineStr">
        <is>
          <t>75373611</t>
        </is>
      </c>
      <c r="B66" s="4" t="inlineStr">
        <is>
          <t>Roosevelt MHC</t>
        </is>
      </c>
      <c r="C66" s="4" t="inlineStr">
        <is>
          <t>83</t>
        </is>
      </c>
      <c r="D66" s="4" t="inlineStr">
        <is>
          <t>Failed Cal</t>
        </is>
      </c>
      <c r="E66" s="4" t="inlineStr">
        <is>
          <t>Pre-existing dead (never metered)</t>
        </is>
      </c>
      <c r="F66" s="4" t="inlineStr">
        <is>
          <t>false</t>
        </is>
      </c>
      <c r="G66" s="4" t="inlineStr">
        <is>
          <t>55</t>
        </is>
      </c>
      <c r="H66" s="4" t="inlineStr">
        <is>
          <t>X</t>
        </is>
      </c>
      <c r="I66" s="4" t="inlineStr">
        <is>
          <t>¾</t>
        </is>
      </c>
      <c r="J66" s="4" t="inlineStr"/>
      <c r="K66" s="4" t="inlineStr">
        <is>
          <t>0</t>
        </is>
      </c>
    </row>
    <row r="67">
      <c r="A67" s="4" t="inlineStr">
        <is>
          <t>72382011</t>
        </is>
      </c>
      <c r="B67" s="4" t="inlineStr">
        <is>
          <t>Rustic Acres MHC</t>
        </is>
      </c>
      <c r="C67" s="4" t="inlineStr">
        <is>
          <t>50</t>
        </is>
      </c>
      <c r="D67" s="4" t="inlineStr">
        <is>
          <t>Calibrating</t>
        </is>
      </c>
      <c r="E67" s="4" t="inlineStr">
        <is>
          <t>Unclassified</t>
        </is>
      </c>
      <c r="F67" s="4" t="inlineStr">
        <is>
          <t>false</t>
        </is>
      </c>
      <c r="G67" s="4" t="inlineStr">
        <is>
          <t>55</t>
        </is>
      </c>
      <c r="H67" s="4" t="inlineStr">
        <is>
          <t>X</t>
        </is>
      </c>
      <c r="I67" s="4" t="inlineStr">
        <is>
          <t>¾</t>
        </is>
      </c>
      <c r="J67" s="4" t="inlineStr"/>
      <c r="K67" s="4" t="inlineStr">
        <is>
          <t>0</t>
        </is>
      </c>
    </row>
    <row r="68">
      <c r="A68" s="4" t="inlineStr">
        <is>
          <t>79454458</t>
        </is>
      </c>
      <c r="B68" s="4" t="inlineStr">
        <is>
          <t>Rustic Acres MHC</t>
        </is>
      </c>
      <c r="C68" s="4" t="inlineStr">
        <is>
          <t>41</t>
        </is>
      </c>
      <c r="D68" s="4" t="inlineStr">
        <is>
          <t>Calibrating</t>
        </is>
      </c>
      <c r="E68" s="4" t="inlineStr">
        <is>
          <t>Unclassified</t>
        </is>
      </c>
      <c r="F68" s="4" t="inlineStr">
        <is>
          <t>false</t>
        </is>
      </c>
      <c r="G68" s="4" t="inlineStr">
        <is>
          <t>40</t>
        </is>
      </c>
      <c r="H68" s="4" t="inlineStr">
        <is>
          <t>X</t>
        </is>
      </c>
      <c r="I68" s="4" t="inlineStr">
        <is>
          <t>¾</t>
        </is>
      </c>
      <c r="J68" s="4" t="inlineStr"/>
      <c r="K68" s="4" t="inlineStr">
        <is>
          <t>0</t>
        </is>
      </c>
    </row>
    <row r="69">
      <c r="A69" s="4" t="inlineStr">
        <is>
          <t>70269798</t>
        </is>
      </c>
      <c r="B69" s="4" t="inlineStr">
        <is>
          <t>Shady Lane MHP</t>
        </is>
      </c>
      <c r="C69" s="4" t="inlineStr">
        <is>
          <t>40 Maple Lane APT #3</t>
        </is>
      </c>
      <c r="D69" s="4" t="inlineStr">
        <is>
          <t>Failed Cal</t>
        </is>
      </c>
      <c r="E69" s="4" t="inlineStr">
        <is>
          <t>Casualty (metered pre-FW)</t>
        </is>
      </c>
      <c r="F69" s="4" t="inlineStr">
        <is>
          <t>false</t>
        </is>
      </c>
      <c r="G69" s="4" t="inlineStr">
        <is>
          <t>55</t>
        </is>
      </c>
      <c r="H69" s="4" t="inlineStr">
        <is>
          <t>X</t>
        </is>
      </c>
      <c r="I69" s="4" t="inlineStr">
        <is>
          <t>¾</t>
        </is>
      </c>
      <c r="J69" s="4" t="inlineStr"/>
      <c r="K69" s="4" t="inlineStr">
        <is>
          <t>0</t>
        </is>
      </c>
    </row>
    <row r="70">
      <c r="A70" s="4" t="inlineStr">
        <is>
          <t>75366011</t>
        </is>
      </c>
      <c r="B70" s="4" t="inlineStr">
        <is>
          <t>Shady Lane MHP</t>
        </is>
      </c>
      <c r="C70" s="4" t="inlineStr">
        <is>
          <t>96 Shady Lane</t>
        </is>
      </c>
      <c r="D70" s="4" t="inlineStr">
        <is>
          <t>Metering</t>
        </is>
      </c>
      <c r="E70" s="4" t="inlineStr">
        <is>
          <t>Unclassified</t>
        </is>
      </c>
      <c r="F70" s="4" t="inlineStr">
        <is>
          <t>false</t>
        </is>
      </c>
      <c r="G70" s="4" t="inlineStr">
        <is>
          <t>26</t>
        </is>
      </c>
      <c r="H70" s="4" t="inlineStr">
        <is>
          <t>X</t>
        </is>
      </c>
      <c r="I70" s="4" t="inlineStr">
        <is>
          <t>¾</t>
        </is>
      </c>
      <c r="J70" s="4" t="inlineStr"/>
      <c r="K70" s="4" t="inlineStr">
        <is>
          <t>0</t>
        </is>
      </c>
    </row>
    <row r="71">
      <c r="A71" s="4" t="inlineStr">
        <is>
          <t>72723994</t>
        </is>
      </c>
      <c r="B71" s="4" t="inlineStr">
        <is>
          <t>Tuttle Estates MHC</t>
        </is>
      </c>
      <c r="C71" s="4" t="inlineStr">
        <is>
          <t>3</t>
        </is>
      </c>
      <c r="D71" s="4" t="inlineStr">
        <is>
          <t>Metering</t>
        </is>
      </c>
      <c r="E71" s="4" t="inlineStr">
        <is>
          <t>Unclassified</t>
        </is>
      </c>
      <c r="F71" s="4" t="inlineStr">
        <is>
          <t>false</t>
        </is>
      </c>
      <c r="G71" s="4" t="inlineStr">
        <is>
          <t>44</t>
        </is>
      </c>
      <c r="H71" s="4" t="inlineStr">
        <is>
          <t>X</t>
        </is>
      </c>
      <c r="I71" s="4" t="inlineStr">
        <is>
          <t>¾</t>
        </is>
      </c>
      <c r="J71" s="4" t="inlineStr"/>
      <c r="K71" s="4" t="inlineStr">
        <is>
          <t>0</t>
        </is>
      </c>
    </row>
    <row r="72">
      <c r="A72" s="4" t="inlineStr">
        <is>
          <t>72379926</t>
        </is>
      </c>
      <c r="B72" s="4" t="inlineStr">
        <is>
          <t>Virginia Beach</t>
        </is>
      </c>
      <c r="C72" s="4" t="inlineStr">
        <is>
          <t>105</t>
        </is>
      </c>
      <c r="D72" s="4" t="inlineStr">
        <is>
          <t>Failed Cal</t>
        </is>
      </c>
      <c r="E72" s="4" t="inlineStr">
        <is>
          <t>Casualty (metered pre-FW)</t>
        </is>
      </c>
      <c r="F72" s="4" t="inlineStr">
        <is>
          <t>false</t>
        </is>
      </c>
      <c r="G72" s="4" t="inlineStr">
        <is>
          <t>50</t>
        </is>
      </c>
      <c r="H72" s="4" t="inlineStr">
        <is>
          <t>X</t>
        </is>
      </c>
      <c r="I72" s="4" t="inlineStr">
        <is>
          <t>¾</t>
        </is>
      </c>
      <c r="J72" s="4" t="inlineStr"/>
      <c r="K72" s="4" t="inlineStr">
        <is>
          <t>0</t>
        </is>
      </c>
    </row>
    <row r="73">
      <c r="A73" s="4" t="inlineStr">
        <is>
          <t>72379959</t>
        </is>
      </c>
      <c r="B73" s="4" t="inlineStr">
        <is>
          <t>Virginia Beach</t>
        </is>
      </c>
      <c r="C73" s="4" t="inlineStr">
        <is>
          <t>107</t>
        </is>
      </c>
      <c r="D73" s="4" t="inlineStr">
        <is>
          <t>Failed Cal</t>
        </is>
      </c>
      <c r="E73" s="4" t="inlineStr">
        <is>
          <t>No Water flagged</t>
        </is>
      </c>
      <c r="F73" s="4" t="inlineStr">
        <is>
          <t>true</t>
        </is>
      </c>
      <c r="G73" s="4" t="inlineStr">
        <is>
          <t>55</t>
        </is>
      </c>
      <c r="H73" s="4" t="inlineStr">
        <is>
          <t>X</t>
        </is>
      </c>
      <c r="I73" s="4" t="inlineStr">
        <is>
          <t>¾</t>
        </is>
      </c>
      <c r="J73" s="4" t="inlineStr"/>
      <c r="K73" s="4" t="inlineStr">
        <is>
          <t>0</t>
        </is>
      </c>
    </row>
    <row r="74">
      <c r="A74" s="4" t="inlineStr">
        <is>
          <t>72381047</t>
        </is>
      </c>
      <c r="B74" s="4" t="inlineStr">
        <is>
          <t>Virginia Beach</t>
        </is>
      </c>
      <c r="C74" s="4" t="inlineStr">
        <is>
          <t>91-OLD</t>
        </is>
      </c>
      <c r="D74" s="4" t="inlineStr">
        <is>
          <t>Failed Cal</t>
        </is>
      </c>
      <c r="E74" s="4" t="inlineStr">
        <is>
          <t>Pulled meter (OLD/REMOVED tag)</t>
        </is>
      </c>
      <c r="F74" s="4" t="inlineStr">
        <is>
          <t>false</t>
        </is>
      </c>
      <c r="G74" s="4" t="inlineStr">
        <is>
          <t>55</t>
        </is>
      </c>
      <c r="H74" s="4" t="inlineStr">
        <is>
          <t>X</t>
        </is>
      </c>
      <c r="I74" s="4" t="inlineStr">
        <is>
          <t>¾</t>
        </is>
      </c>
      <c r="J74" s="4" t="inlineStr"/>
      <c r="K74" s="4" t="inlineStr">
        <is>
          <t>0</t>
        </is>
      </c>
    </row>
    <row r="75">
      <c r="A75" s="4" t="inlineStr">
        <is>
          <t>72383043</t>
        </is>
      </c>
      <c r="B75" s="4" t="inlineStr">
        <is>
          <t>Virginia Beach</t>
        </is>
      </c>
      <c r="C75" s="4" t="inlineStr">
        <is>
          <t>243-OLD</t>
        </is>
      </c>
      <c r="D75" s="4" t="inlineStr">
        <is>
          <t>Failed Cal</t>
        </is>
      </c>
      <c r="E75" s="4" t="inlineStr">
        <is>
          <t>Pulled meter (OLD/REMOVED tag)</t>
        </is>
      </c>
      <c r="F75" s="4" t="inlineStr">
        <is>
          <t>false</t>
        </is>
      </c>
      <c r="G75" s="4" t="inlineStr">
        <is>
          <t>55</t>
        </is>
      </c>
      <c r="H75" s="4" t="inlineStr">
        <is>
          <t>X</t>
        </is>
      </c>
      <c r="I75" s="4" t="inlineStr">
        <is>
          <t>¾</t>
        </is>
      </c>
      <c r="J75" s="4" t="inlineStr"/>
      <c r="K75" s="4" t="inlineStr">
        <is>
          <t>0</t>
        </is>
      </c>
    </row>
    <row r="76">
      <c r="A76" s="4" t="inlineStr">
        <is>
          <t>72383167</t>
        </is>
      </c>
      <c r="B76" s="4" t="inlineStr">
        <is>
          <t>Virginia Beach</t>
        </is>
      </c>
      <c r="C76" s="4" t="inlineStr">
        <is>
          <t>144-OLD</t>
        </is>
      </c>
      <c r="D76" s="4" t="inlineStr">
        <is>
          <t>Failed Cal</t>
        </is>
      </c>
      <c r="E76" s="4" t="inlineStr">
        <is>
          <t>Pulled meter (OLD/REMOVED tag)</t>
        </is>
      </c>
      <c r="F76" s="4" t="inlineStr">
        <is>
          <t>false</t>
        </is>
      </c>
      <c r="G76" s="4" t="inlineStr">
        <is>
          <t>35</t>
        </is>
      </c>
      <c r="H76" s="4" t="inlineStr">
        <is>
          <t>C</t>
        </is>
      </c>
      <c r="I76" s="4" t="inlineStr">
        <is>
          <t>¾</t>
        </is>
      </c>
      <c r="J76" s="4" t="inlineStr"/>
      <c r="K76" s="4" t="inlineStr">
        <is>
          <t>0</t>
        </is>
      </c>
    </row>
    <row r="77">
      <c r="A77" s="4" t="inlineStr">
        <is>
          <t>72383621</t>
        </is>
      </c>
      <c r="B77" s="4" t="inlineStr">
        <is>
          <t>Virginia Beach</t>
        </is>
      </c>
      <c r="C77" s="4" t="inlineStr">
        <is>
          <t>5-OLD</t>
        </is>
      </c>
      <c r="D77" s="4" t="inlineStr">
        <is>
          <t>Failed Cal</t>
        </is>
      </c>
      <c r="E77" s="4" t="inlineStr">
        <is>
          <t>Pulled meter (OLD/REMOVED tag)</t>
        </is>
      </c>
      <c r="F77" s="4" t="inlineStr">
        <is>
          <t>false</t>
        </is>
      </c>
      <c r="G77" s="4" t="inlineStr">
        <is>
          <t>55</t>
        </is>
      </c>
      <c r="H77" s="4" t="inlineStr">
        <is>
          <t>X</t>
        </is>
      </c>
      <c r="I77" s="4" t="inlineStr">
        <is>
          <t>¾</t>
        </is>
      </c>
      <c r="J77" s="4" t="inlineStr"/>
      <c r="K77" s="4" t="inlineStr">
        <is>
          <t>0</t>
        </is>
      </c>
    </row>
    <row r="78">
      <c r="A78" s="4" t="inlineStr">
        <is>
          <t>72384314</t>
        </is>
      </c>
      <c r="B78" s="4" t="inlineStr">
        <is>
          <t>Virginia Beach</t>
        </is>
      </c>
      <c r="C78" s="4" t="inlineStr">
        <is>
          <t>40</t>
        </is>
      </c>
      <c r="D78" s="4" t="inlineStr">
        <is>
          <t>Failed Cal</t>
        </is>
      </c>
      <c r="E78" s="4" t="inlineStr">
        <is>
          <t>Casualty (metered pre-FW)</t>
        </is>
      </c>
      <c r="F78" s="4" t="inlineStr">
        <is>
          <t>false</t>
        </is>
      </c>
      <c r="G78" s="4" t="inlineStr">
        <is>
          <t>55</t>
        </is>
      </c>
      <c r="H78" s="4" t="inlineStr">
        <is>
          <t>X</t>
        </is>
      </c>
      <c r="I78" s="4" t="inlineStr">
        <is>
          <t>¾</t>
        </is>
      </c>
      <c r="J78" s="4" t="inlineStr"/>
      <c r="K78" s="4" t="inlineStr">
        <is>
          <t>0</t>
        </is>
      </c>
    </row>
    <row r="79">
      <c r="A79" s="4" t="inlineStr">
        <is>
          <t>72385097</t>
        </is>
      </c>
      <c r="B79" s="4" t="inlineStr">
        <is>
          <t>Virginia Beach</t>
        </is>
      </c>
      <c r="C79" s="4" t="inlineStr">
        <is>
          <t>211</t>
        </is>
      </c>
      <c r="D79" s="4" t="inlineStr">
        <is>
          <t>Metering</t>
        </is>
      </c>
      <c r="E79" s="4" t="inlineStr">
        <is>
          <t>Casualty (metered pre-FW)</t>
        </is>
      </c>
      <c r="F79" s="4" t="inlineStr">
        <is>
          <t>false</t>
        </is>
      </c>
      <c r="G79" s="4" t="inlineStr">
        <is>
          <t>40</t>
        </is>
      </c>
      <c r="H79" s="4" t="inlineStr">
        <is>
          <t>X</t>
        </is>
      </c>
      <c r="I79" s="4" t="inlineStr">
        <is>
          <t>¾</t>
        </is>
      </c>
      <c r="J79" s="4" t="inlineStr">
        <is>
          <t>Y</t>
        </is>
      </c>
      <c r="K79" s="4" t="inlineStr">
        <is>
          <t>10624</t>
        </is>
      </c>
    </row>
    <row r="80">
      <c r="A80" s="4" t="inlineStr">
        <is>
          <t>72385246</t>
        </is>
      </c>
      <c r="B80" s="4" t="inlineStr">
        <is>
          <t>Virginia Beach</t>
        </is>
      </c>
      <c r="C80" s="4" t="inlineStr">
        <is>
          <t>9</t>
        </is>
      </c>
      <c r="D80" s="4" t="inlineStr">
        <is>
          <t>Metering</t>
        </is>
      </c>
      <c r="E80" s="4" t="inlineStr">
        <is>
          <t>Unclassified</t>
        </is>
      </c>
      <c r="F80" s="4" t="inlineStr">
        <is>
          <t>false</t>
        </is>
      </c>
      <c r="G80" s="4" t="inlineStr">
        <is>
          <t>38</t>
        </is>
      </c>
      <c r="H80" s="4" t="inlineStr">
        <is>
          <t>X</t>
        </is>
      </c>
      <c r="I80" s="4" t="inlineStr">
        <is>
          <t>¾</t>
        </is>
      </c>
      <c r="J80" s="4" t="inlineStr"/>
      <c r="K80" s="4" t="inlineStr">
        <is>
          <t>0</t>
        </is>
      </c>
    </row>
    <row r="81">
      <c r="A81" s="4" t="inlineStr">
        <is>
          <t>72386145</t>
        </is>
      </c>
      <c r="B81" s="4" t="inlineStr">
        <is>
          <t>Virginia Beach</t>
        </is>
      </c>
      <c r="C81" s="4" t="inlineStr">
        <is>
          <t>201-OLD</t>
        </is>
      </c>
      <c r="D81" s="4" t="inlineStr">
        <is>
          <t>Failed Cal</t>
        </is>
      </c>
      <c r="E81" s="4" t="inlineStr">
        <is>
          <t>Pulled meter (OLD/REMOVED tag)</t>
        </is>
      </c>
      <c r="F81" s="4" t="inlineStr">
        <is>
          <t>false</t>
        </is>
      </c>
      <c r="G81" s="4" t="inlineStr">
        <is>
          <t>55</t>
        </is>
      </c>
      <c r="H81" s="4" t="inlineStr">
        <is>
          <t>X</t>
        </is>
      </c>
      <c r="I81" s="4" t="inlineStr">
        <is>
          <t>¾</t>
        </is>
      </c>
      <c r="J81" s="4" t="inlineStr"/>
      <c r="K81" s="4" t="inlineStr">
        <is>
          <t>0</t>
        </is>
      </c>
    </row>
    <row r="82">
      <c r="A82" s="4" t="inlineStr">
        <is>
          <t>72388364</t>
        </is>
      </c>
      <c r="B82" s="4" t="inlineStr">
        <is>
          <t>Virginia Beach</t>
        </is>
      </c>
      <c r="C82" s="4" t="inlineStr">
        <is>
          <t>153-OLD</t>
        </is>
      </c>
      <c r="D82" s="4" t="inlineStr">
        <is>
          <t>Failed Cal</t>
        </is>
      </c>
      <c r="E82" s="4" t="inlineStr">
        <is>
          <t>Pulled meter (OLD/REMOVED tag)</t>
        </is>
      </c>
      <c r="F82" s="4" t="inlineStr">
        <is>
          <t>false</t>
        </is>
      </c>
      <c r="G82" s="4" t="inlineStr">
        <is>
          <t>55</t>
        </is>
      </c>
      <c r="H82" s="4" t="inlineStr">
        <is>
          <t>X</t>
        </is>
      </c>
      <c r="I82" s="4" t="inlineStr">
        <is>
          <t>¾</t>
        </is>
      </c>
      <c r="J82" s="4" t="inlineStr"/>
      <c r="K82" s="4" t="inlineStr">
        <is>
          <t>0</t>
        </is>
      </c>
    </row>
    <row r="83">
      <c r="A83" s="4" t="inlineStr">
        <is>
          <t>72389966</t>
        </is>
      </c>
      <c r="B83" s="4" t="inlineStr">
        <is>
          <t>Virginia Beach</t>
        </is>
      </c>
      <c r="C83" s="4" t="inlineStr">
        <is>
          <t>99</t>
        </is>
      </c>
      <c r="D83" s="4" t="inlineStr">
        <is>
          <t>Failed Cal</t>
        </is>
      </c>
      <c r="E83" s="4" t="inlineStr">
        <is>
          <t>Casualty (metered pre-FW)</t>
        </is>
      </c>
      <c r="F83" s="4" t="inlineStr">
        <is>
          <t>false</t>
        </is>
      </c>
      <c r="G83" s="4" t="inlineStr">
        <is>
          <t>55</t>
        </is>
      </c>
      <c r="H83" s="4" t="inlineStr">
        <is>
          <t>X</t>
        </is>
      </c>
      <c r="I83" s="4" t="inlineStr">
        <is>
          <t>¾</t>
        </is>
      </c>
      <c r="J83" s="4" t="inlineStr"/>
      <c r="K83" s="4" t="inlineStr">
        <is>
          <t>0</t>
        </is>
      </c>
    </row>
    <row r="84">
      <c r="A84" s="4" t="inlineStr">
        <is>
          <t>72390816</t>
        </is>
      </c>
      <c r="B84" s="4" t="inlineStr">
        <is>
          <t>Virginia Beach</t>
        </is>
      </c>
      <c r="C84" s="4" t="inlineStr">
        <is>
          <t>239</t>
        </is>
      </c>
      <c r="D84" s="4" t="inlineStr">
        <is>
          <t>Calibrating</t>
        </is>
      </c>
      <c r="E84" s="4" t="inlineStr">
        <is>
          <t>No Water flagged</t>
        </is>
      </c>
      <c r="F84" s="4" t="inlineStr">
        <is>
          <t>true</t>
        </is>
      </c>
      <c r="G84" s="4" t="inlineStr">
        <is>
          <t>40</t>
        </is>
      </c>
      <c r="H84" s="4" t="inlineStr">
        <is>
          <t>X</t>
        </is>
      </c>
      <c r="I84" s="4" t="inlineStr">
        <is>
          <t>¾</t>
        </is>
      </c>
      <c r="J84" s="4" t="inlineStr"/>
      <c r="K84" s="4" t="inlineStr">
        <is>
          <t>0</t>
        </is>
      </c>
    </row>
    <row r="85">
      <c r="A85" s="4" t="inlineStr">
        <is>
          <t>72392655</t>
        </is>
      </c>
      <c r="B85" s="4" t="inlineStr">
        <is>
          <t>Virginia Beach</t>
        </is>
      </c>
      <c r="C85" s="4" t="inlineStr">
        <is>
          <t>234-OLD</t>
        </is>
      </c>
      <c r="D85" s="4" t="inlineStr">
        <is>
          <t>Failed Cal</t>
        </is>
      </c>
      <c r="E85" s="4" t="inlineStr">
        <is>
          <t>Pulled meter (OLD/REMOVED tag)</t>
        </is>
      </c>
      <c r="F85" s="4" t="inlineStr">
        <is>
          <t>false</t>
        </is>
      </c>
      <c r="G85" s="4" t="inlineStr">
        <is>
          <t>55</t>
        </is>
      </c>
      <c r="H85" s="4" t="inlineStr">
        <is>
          <t>X</t>
        </is>
      </c>
      <c r="I85" s="4" t="inlineStr">
        <is>
          <t>¾</t>
        </is>
      </c>
      <c r="J85" s="4" t="inlineStr"/>
      <c r="K85" s="4" t="inlineStr">
        <is>
          <t>0</t>
        </is>
      </c>
    </row>
    <row r="86">
      <c r="A86" s="4" t="inlineStr">
        <is>
          <t>72392754</t>
        </is>
      </c>
      <c r="B86" s="4" t="inlineStr">
        <is>
          <t>Virginia Beach</t>
        </is>
      </c>
      <c r="C86" s="4" t="inlineStr">
        <is>
          <t>133</t>
        </is>
      </c>
      <c r="D86" s="4" t="inlineStr">
        <is>
          <t>Metering</t>
        </is>
      </c>
      <c r="E86" s="4" t="inlineStr">
        <is>
          <t>Unclassified</t>
        </is>
      </c>
      <c r="F86" s="4" t="inlineStr">
        <is>
          <t>false</t>
        </is>
      </c>
      <c r="G86" s="4" t="inlineStr">
        <is>
          <t>35</t>
        </is>
      </c>
      <c r="H86" s="4" t="inlineStr">
        <is>
          <t>X</t>
        </is>
      </c>
      <c r="I86" s="4" t="inlineStr">
        <is>
          <t>¾</t>
        </is>
      </c>
      <c r="J86" s="4" t="inlineStr"/>
      <c r="K86" s="4" t="inlineStr">
        <is>
          <t>0</t>
        </is>
      </c>
    </row>
    <row r="87">
      <c r="A87" s="4" t="inlineStr">
        <is>
          <t>75372530</t>
        </is>
      </c>
      <c r="B87" s="4" t="inlineStr">
        <is>
          <t>Virginia Beach</t>
        </is>
      </c>
      <c r="C87" s="4" t="inlineStr">
        <is>
          <t>60</t>
        </is>
      </c>
      <c r="D87" s="4" t="inlineStr">
        <is>
          <t>Failed Cal</t>
        </is>
      </c>
      <c r="E87" s="4" t="inlineStr">
        <is>
          <t>Casualty (metered pre-FW)</t>
        </is>
      </c>
      <c r="F87" s="4" t="inlineStr">
        <is>
          <t>false</t>
        </is>
      </c>
      <c r="G87" s="4" t="inlineStr">
        <is>
          <t>55</t>
        </is>
      </c>
      <c r="H87" s="4" t="inlineStr">
        <is>
          <t>X</t>
        </is>
      </c>
      <c r="I87" s="4" t="inlineStr">
        <is>
          <t>¾</t>
        </is>
      </c>
      <c r="J87" s="4" t="inlineStr"/>
      <c r="K87" s="4" t="inlineStr">
        <is>
          <t>0</t>
        </is>
      </c>
    </row>
    <row r="88">
      <c r="A88" s="4" t="inlineStr">
        <is>
          <t>79454276</t>
        </is>
      </c>
      <c r="B88" s="4" t="inlineStr">
        <is>
          <t>Virginia Beach</t>
        </is>
      </c>
      <c r="C88" s="4" t="inlineStr">
        <is>
          <t>10-OLD</t>
        </is>
      </c>
      <c r="D88" s="4" t="inlineStr">
        <is>
          <t>Failed Cal</t>
        </is>
      </c>
      <c r="E88" s="4" t="inlineStr">
        <is>
          <t>Pulled meter (OLD/REMOVED tag)</t>
        </is>
      </c>
      <c r="F88" s="4" t="inlineStr">
        <is>
          <t>false</t>
        </is>
      </c>
      <c r="G88" s="4" t="inlineStr">
        <is>
          <t>55</t>
        </is>
      </c>
      <c r="H88" s="4" t="inlineStr">
        <is>
          <t>X</t>
        </is>
      </c>
      <c r="I88" s="4" t="inlineStr">
        <is>
          <t>¾</t>
        </is>
      </c>
      <c r="J88" s="4" t="inlineStr"/>
      <c r="K88" s="4" t="inlineStr">
        <is>
          <t>0</t>
        </is>
      </c>
    </row>
  </sheetData>
  <autoFilter ref="A1:K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2026-08-15T14:33:15Z</dcterms:created>
  <dcterms:modified xsi:type="dcterms:W3CDTF">2026-08-15T14:33:15Z</dcterms:modified>
</cp:coreProperties>
</file>